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42E0BC10-4BAE-46D1-8EB1-31CAC33ED657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01_Cover" sheetId="1" r:id="rId1"/>
    <sheet name="02_Assumptions" sheetId="2" r:id="rId2"/>
    <sheet name="03_Customer_Growth" sheetId="3" r:id="rId3"/>
    <sheet name="04_Revenue_Engine" sheetId="4" r:id="rId4"/>
    <sheet name="05_COGS" sheetId="5" r:id="rId5"/>
    <sheet name="06_HR_Planning" sheetId="6" r:id="rId6"/>
    <sheet name="07_OPEX" sheetId="7" r:id="rId7"/>
    <sheet name="08_EBITDA" sheetId="8" r:id="rId8"/>
    <sheet name="09_Cash_Flow" sheetId="9" r:id="rId9"/>
    <sheet name="10_SaaS_Metrics" sheetId="10" r:id="rId10"/>
    <sheet name="11_Valuation" sheetId="11" r:id="rId11"/>
    <sheet name="12_Cap_Table" sheetId="12" r:id="rId12"/>
    <sheet name="13_Investor_Return" sheetId="13" r:id="rId13"/>
    <sheet name="14_Dashboar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9" l="1"/>
  <c r="B6" i="9"/>
  <c r="D6" i="9"/>
  <c r="D10" i="13"/>
  <c r="C10" i="13"/>
  <c r="B10" i="13"/>
  <c r="D6" i="13"/>
  <c r="C6" i="13"/>
  <c r="B6" i="13"/>
  <c r="C7" i="12"/>
  <c r="B7" i="12"/>
  <c r="C6" i="12"/>
  <c r="D5" i="12"/>
  <c r="F14" i="11"/>
  <c r="F15" i="11" s="1"/>
  <c r="E14" i="11"/>
  <c r="E15" i="11" s="1"/>
  <c r="D14" i="11"/>
  <c r="D15" i="11" s="1"/>
  <c r="F13" i="11"/>
  <c r="E13" i="11"/>
  <c r="D13" i="11"/>
  <c r="C13" i="11"/>
  <c r="C14" i="11" s="1"/>
  <c r="C15" i="11" s="1"/>
  <c r="B13" i="11"/>
  <c r="B14" i="11" s="1"/>
  <c r="F9" i="11"/>
  <c r="E9" i="11"/>
  <c r="D9" i="11"/>
  <c r="C9" i="11"/>
  <c r="B9" i="11"/>
  <c r="F8" i="11"/>
  <c r="E8" i="11"/>
  <c r="D8" i="11"/>
  <c r="C8" i="11"/>
  <c r="B8" i="11"/>
  <c r="F7" i="11"/>
  <c r="E7" i="11"/>
  <c r="D7" i="11"/>
  <c r="C7" i="11"/>
  <c r="B7" i="11"/>
  <c r="F9" i="10"/>
  <c r="F10" i="10" s="1"/>
  <c r="E9" i="10"/>
  <c r="E10" i="10" s="1"/>
  <c r="D9" i="10"/>
  <c r="D10" i="10" s="1"/>
  <c r="C9" i="10"/>
  <c r="C10" i="10" s="1"/>
  <c r="B9" i="10"/>
  <c r="B10" i="10" s="1"/>
  <c r="F6" i="9"/>
  <c r="C6" i="9"/>
  <c r="B13" i="7"/>
  <c r="B9" i="8" s="1"/>
  <c r="B5" i="7"/>
  <c r="B11" i="10" s="1"/>
  <c r="E13" i="6"/>
  <c r="E5" i="7" s="1"/>
  <c r="B13" i="6"/>
  <c r="F11" i="6"/>
  <c r="F13" i="6" s="1"/>
  <c r="F5" i="7" s="1"/>
  <c r="E11" i="6"/>
  <c r="D11" i="6"/>
  <c r="D13" i="6" s="1"/>
  <c r="D5" i="7" s="1"/>
  <c r="C11" i="6"/>
  <c r="C13" i="6" s="1"/>
  <c r="C5" i="7" s="1"/>
  <c r="B11" i="6"/>
  <c r="F6" i="5"/>
  <c r="E6" i="5"/>
  <c r="D6" i="5"/>
  <c r="C6" i="5"/>
  <c r="B6" i="5"/>
  <c r="F12" i="4"/>
  <c r="E12" i="4"/>
  <c r="D12" i="4"/>
  <c r="C12" i="4"/>
  <c r="B12" i="4"/>
  <c r="F11" i="4"/>
  <c r="E11" i="4"/>
  <c r="D11" i="4"/>
  <c r="C11" i="4"/>
  <c r="B11" i="4"/>
  <c r="F8" i="4"/>
  <c r="E8" i="4"/>
  <c r="D8" i="4"/>
  <c r="C8" i="4"/>
  <c r="B8" i="4"/>
  <c r="F5" i="4"/>
  <c r="E5" i="4"/>
  <c r="D5" i="4"/>
  <c r="C5" i="4"/>
  <c r="B5" i="4"/>
  <c r="F9" i="3"/>
  <c r="E9" i="3"/>
  <c r="D9" i="3"/>
  <c r="C9" i="3"/>
  <c r="B9" i="3"/>
  <c r="B7" i="3"/>
  <c r="F6" i="3"/>
  <c r="E6" i="3"/>
  <c r="D6" i="3"/>
  <c r="C6" i="3"/>
  <c r="B6" i="3"/>
  <c r="B5" i="3"/>
  <c r="B8" i="3" s="1"/>
  <c r="B5" i="5" l="1"/>
  <c r="B10" i="3"/>
  <c r="B7" i="5"/>
  <c r="B6" i="4"/>
  <c r="B12" i="14"/>
  <c r="B9" i="4"/>
  <c r="B8" i="5" s="1"/>
  <c r="B7" i="4"/>
  <c r="C6" i="2"/>
  <c r="C5" i="3" s="1"/>
  <c r="F13" i="7"/>
  <c r="F9" i="8" s="1"/>
  <c r="F11" i="10"/>
  <c r="E13" i="7"/>
  <c r="E9" i="8" s="1"/>
  <c r="E11" i="10"/>
  <c r="D6" i="12"/>
  <c r="B15" i="11"/>
  <c r="B8" i="14" s="1"/>
  <c r="C11" i="10"/>
  <c r="C13" i="7"/>
  <c r="C9" i="8" s="1"/>
  <c r="D13" i="7"/>
  <c r="D9" i="8" s="1"/>
  <c r="D11" i="10"/>
  <c r="D8" i="13" l="1"/>
  <c r="C8" i="13"/>
  <c r="B8" i="13"/>
  <c r="D4" i="12"/>
  <c r="D7" i="12" s="1"/>
  <c r="C7" i="3"/>
  <c r="C8" i="3" s="1"/>
  <c r="B14" i="4"/>
  <c r="B10" i="4"/>
  <c r="B13" i="4" s="1"/>
  <c r="B13" i="14"/>
  <c r="B5" i="8" l="1"/>
  <c r="B5" i="11"/>
  <c r="B9" i="5"/>
  <c r="B10" i="5" s="1"/>
  <c r="B6" i="8" s="1"/>
  <c r="B11" i="5"/>
  <c r="B12" i="5" s="1"/>
  <c r="B14" i="14"/>
  <c r="B15" i="4"/>
  <c r="B7" i="10" s="1"/>
  <c r="C7" i="5"/>
  <c r="C6" i="4"/>
  <c r="C10" i="3"/>
  <c r="C12" i="14"/>
  <c r="C7" i="4"/>
  <c r="D6" i="2"/>
  <c r="D5" i="3" s="1"/>
  <c r="C9" i="4"/>
  <c r="C8" i="5" s="1"/>
  <c r="C5" i="5"/>
  <c r="C11" i="3"/>
  <c r="B6" i="10"/>
  <c r="B5" i="10"/>
  <c r="B8" i="10" l="1"/>
  <c r="B16" i="14"/>
  <c r="B14" i="10"/>
  <c r="B12" i="10"/>
  <c r="B13" i="10" s="1"/>
  <c r="C10" i="4"/>
  <c r="C13" i="14"/>
  <c r="B15" i="14"/>
  <c r="B6" i="11"/>
  <c r="C14" i="4"/>
  <c r="C13" i="4"/>
  <c r="D7" i="3"/>
  <c r="D8" i="3" s="1"/>
  <c r="B12" i="11"/>
  <c r="B11" i="11"/>
  <c r="B10" i="11"/>
  <c r="B7" i="8"/>
  <c r="B10" i="8" s="1"/>
  <c r="B11" i="8" s="1"/>
  <c r="B8" i="8"/>
  <c r="D6" i="4" l="1"/>
  <c r="D12" i="14"/>
  <c r="D7" i="4"/>
  <c r="D10" i="3"/>
  <c r="D9" i="4"/>
  <c r="D8" i="5" s="1"/>
  <c r="D5" i="5"/>
  <c r="E6" i="2"/>
  <c r="E5" i="3" s="1"/>
  <c r="D7" i="5"/>
  <c r="D11" i="3"/>
  <c r="B15" i="10"/>
  <c r="B18" i="14"/>
  <c r="C6" i="10"/>
  <c r="C5" i="10"/>
  <c r="C9" i="5"/>
  <c r="C10" i="5" s="1"/>
  <c r="C6" i="8" s="1"/>
  <c r="C14" i="14"/>
  <c r="C5" i="11"/>
  <c r="C5" i="8"/>
  <c r="C15" i="4"/>
  <c r="C7" i="10" s="1"/>
  <c r="B17" i="14"/>
  <c r="B7" i="9"/>
  <c r="C7" i="8" l="1"/>
  <c r="C10" i="8" s="1"/>
  <c r="C11" i="8" s="1"/>
  <c r="C11" i="5"/>
  <c r="C12" i="5" s="1"/>
  <c r="D10" i="4"/>
  <c r="D13" i="14"/>
  <c r="E7" i="3"/>
  <c r="E8" i="3" s="1"/>
  <c r="C12" i="11"/>
  <c r="C11" i="11"/>
  <c r="C10" i="11"/>
  <c r="C6" i="11"/>
  <c r="C15" i="14"/>
  <c r="B9" i="9"/>
  <c r="B8" i="9"/>
  <c r="D14" i="4"/>
  <c r="D13" i="4"/>
  <c r="B10" i="9" l="1"/>
  <c r="C18" i="14"/>
  <c r="C15" i="10"/>
  <c r="E12" i="14"/>
  <c r="E10" i="3"/>
  <c r="E7" i="4"/>
  <c r="F6" i="2"/>
  <c r="F5" i="3" s="1"/>
  <c r="E9" i="4"/>
  <c r="E8" i="5" s="1"/>
  <c r="E5" i="5"/>
  <c r="E7" i="5"/>
  <c r="E6" i="4"/>
  <c r="E11" i="3"/>
  <c r="C8" i="10"/>
  <c r="C16" i="14"/>
  <c r="D9" i="5"/>
  <c r="D10" i="5" s="1"/>
  <c r="D6" i="8" s="1"/>
  <c r="D14" i="14"/>
  <c r="D5" i="8"/>
  <c r="D5" i="11"/>
  <c r="D15" i="4"/>
  <c r="D7" i="10" s="1"/>
  <c r="C8" i="8"/>
  <c r="C5" i="9"/>
  <c r="C8" i="9" s="1"/>
  <c r="B19" i="14"/>
  <c r="D6" i="10"/>
  <c r="D5" i="10"/>
  <c r="C17" i="14"/>
  <c r="C7" i="9"/>
  <c r="C9" i="9" s="1"/>
  <c r="C10" i="9" l="1"/>
  <c r="D11" i="5"/>
  <c r="D12" i="5" s="1"/>
  <c r="E10" i="4"/>
  <c r="E13" i="14"/>
  <c r="E14" i="4"/>
  <c r="E13" i="4"/>
  <c r="D11" i="11"/>
  <c r="D12" i="11"/>
  <c r="D10" i="11"/>
  <c r="D6" i="11"/>
  <c r="D15" i="14"/>
  <c r="D11" i="8"/>
  <c r="D8" i="8"/>
  <c r="D7" i="8"/>
  <c r="D10" i="8" s="1"/>
  <c r="F7" i="3"/>
  <c r="F8" i="3"/>
  <c r="C12" i="10"/>
  <c r="C13" i="10" s="1"/>
  <c r="C14" i="10"/>
  <c r="C19" i="14"/>
  <c r="D5" i="9"/>
  <c r="D18" i="14" l="1"/>
  <c r="D15" i="10"/>
  <c r="D8" i="9"/>
  <c r="E9" i="5"/>
  <c r="E10" i="5" s="1"/>
  <c r="E6" i="8" s="1"/>
  <c r="E11" i="5"/>
  <c r="E14" i="14"/>
  <c r="E5" i="8"/>
  <c r="E5" i="11"/>
  <c r="E12" i="5"/>
  <c r="E15" i="4"/>
  <c r="E7" i="10" s="1"/>
  <c r="F7" i="4"/>
  <c r="F9" i="4"/>
  <c r="F8" i="5" s="1"/>
  <c r="H5" i="14"/>
  <c r="F5" i="5"/>
  <c r="F7" i="5"/>
  <c r="F6" i="4"/>
  <c r="F10" i="3"/>
  <c r="F12" i="14"/>
  <c r="F11" i="3"/>
  <c r="E5" i="10"/>
  <c r="E6" i="10"/>
  <c r="D17" i="14"/>
  <c r="D7" i="9"/>
  <c r="D9" i="9" s="1"/>
  <c r="D10" i="9" s="1"/>
  <c r="D8" i="10"/>
  <c r="D16" i="14"/>
  <c r="E6" i="11" l="1"/>
  <c r="E15" i="14"/>
  <c r="E8" i="10"/>
  <c r="E16" i="14"/>
  <c r="F14" i="4"/>
  <c r="F13" i="4"/>
  <c r="E14" i="10"/>
  <c r="E12" i="10"/>
  <c r="E13" i="10" s="1"/>
  <c r="E11" i="11"/>
  <c r="E10" i="11"/>
  <c r="E12" i="11"/>
  <c r="E11" i="8"/>
  <c r="E7" i="8"/>
  <c r="E10" i="8" s="1"/>
  <c r="F10" i="4"/>
  <c r="F13" i="14"/>
  <c r="D19" i="14"/>
  <c r="E5" i="9"/>
  <c r="D12" i="10"/>
  <c r="D13" i="10" s="1"/>
  <c r="D14" i="10"/>
  <c r="E18" i="14" l="1"/>
  <c r="E15" i="10"/>
  <c r="F14" i="14"/>
  <c r="F5" i="8"/>
  <c r="D5" i="13"/>
  <c r="D7" i="13" s="1"/>
  <c r="D9" i="13" s="1"/>
  <c r="D11" i="13" s="1"/>
  <c r="D12" i="13" s="1"/>
  <c r="F5" i="11"/>
  <c r="C5" i="13"/>
  <c r="C7" i="13" s="1"/>
  <c r="F9" i="5"/>
  <c r="F10" i="5" s="1"/>
  <c r="F6" i="8" s="1"/>
  <c r="B5" i="14"/>
  <c r="B5" i="13"/>
  <c r="B7" i="13" s="1"/>
  <c r="B9" i="13" s="1"/>
  <c r="B11" i="13" s="1"/>
  <c r="B12" i="13" s="1"/>
  <c r="F15" i="4"/>
  <c r="F7" i="10" s="1"/>
  <c r="F5" i="10"/>
  <c r="F6" i="10"/>
  <c r="E7" i="9"/>
  <c r="E9" i="9" s="1"/>
  <c r="E10" i="9" s="1"/>
  <c r="E17" i="14"/>
  <c r="E8" i="8"/>
  <c r="F11" i="11" l="1"/>
  <c r="F10" i="11"/>
  <c r="F12" i="11"/>
  <c r="D8" i="14"/>
  <c r="C9" i="13"/>
  <c r="C11" i="13" s="1"/>
  <c r="F7" i="8"/>
  <c r="F10" i="8" s="1"/>
  <c r="E8" i="9"/>
  <c r="F11" i="5"/>
  <c r="F12" i="5" s="1"/>
  <c r="F6" i="11"/>
  <c r="F15" i="14"/>
  <c r="D5" i="14"/>
  <c r="F7" i="9" l="1"/>
  <c r="F9" i="9" s="1"/>
  <c r="F10" i="9" s="1"/>
  <c r="F5" i="14"/>
  <c r="F17" i="14"/>
  <c r="F8" i="10"/>
  <c r="F16" i="14"/>
  <c r="F8" i="8"/>
  <c r="C12" i="13"/>
  <c r="H8" i="14" s="1"/>
  <c r="F8" i="14"/>
  <c r="E19" i="14"/>
  <c r="F5" i="9"/>
  <c r="F8" i="9" s="1"/>
  <c r="F19" i="14" s="1"/>
  <c r="F11" i="8"/>
  <c r="F18" i="14" l="1"/>
  <c r="F15" i="10"/>
  <c r="F14" i="10"/>
  <c r="F12" i="10"/>
  <c r="F13" i="10" s="1"/>
</calcChain>
</file>

<file path=xl/sharedStrings.xml><?xml version="1.0" encoding="utf-8"?>
<sst xmlns="http://schemas.openxmlformats.org/spreadsheetml/2006/main" count="198" uniqueCount="170">
  <si>
    <t>Smartcoop Financial Model v2.0</t>
  </si>
  <si>
    <t>Company</t>
  </si>
  <si>
    <t>Smartcoop</t>
  </si>
  <si>
    <t>Model Type</t>
  </si>
  <si>
    <t>Driver-Based Financial Model</t>
  </si>
  <si>
    <t>Purpose</t>
  </si>
  <si>
    <t>Seed Round / Board Dashboard / Due Diligence</t>
  </si>
  <si>
    <t>Currency</t>
  </si>
  <si>
    <t>IDR</t>
  </si>
  <si>
    <t>Units</t>
  </si>
  <si>
    <t>Full Rupiah unless stated otherwise</t>
  </si>
  <si>
    <t>Version</t>
  </si>
  <si>
    <t>v2.0</t>
  </si>
  <si>
    <t>Prepared for</t>
  </si>
  <si>
    <t>Internal / Investor Review</t>
  </si>
  <si>
    <t>Last Updated</t>
  </si>
  <si>
    <t>2026-07-06</t>
  </si>
  <si>
    <t>Note</t>
  </si>
  <si>
    <t>Blue cells are hardcoded inputs; black/green cells are formulas or linked outputs.</t>
  </si>
  <si>
    <t>02. Assumptions / Control Panel</t>
  </si>
  <si>
    <t>Metric / Driver</t>
  </si>
  <si>
    <t>Customer Growth</t>
  </si>
  <si>
    <t>Beginning Active Cooperatives</t>
  </si>
  <si>
    <t>New Cooperatives Acquired</t>
  </si>
  <si>
    <t>Monthly Churn Rate</t>
  </si>
  <si>
    <t>Average Members / Cooperative</t>
  </si>
  <si>
    <t>Subscription-Paying %</t>
  </si>
  <si>
    <t>Pricing &amp; Revenue Drivers</t>
  </si>
  <si>
    <t>Setup Fee / Paid Implementation Coop</t>
  </si>
  <si>
    <t>Paid Implementation Coops</t>
  </si>
  <si>
    <t>Monthly Subscription Fee</t>
  </si>
  <si>
    <t>iOS Add-on Monthly Fee</t>
  </si>
  <si>
    <t>iOS Adoption %</t>
  </si>
  <si>
    <t>White Label Projects</t>
  </si>
  <si>
    <t>White Label Fee / Project</t>
  </si>
  <si>
    <t>PPOB Active Cooperatives %</t>
  </si>
  <si>
    <t>PPOB Transactions / Active Coop / Month</t>
  </si>
  <si>
    <t>Average PPOB Fee / Transaction</t>
  </si>
  <si>
    <t>Academy Participants % of Members</t>
  </si>
  <si>
    <t>Academy Average Price / Participant</t>
  </si>
  <si>
    <t>Offline Trainings / Month</t>
  </si>
  <si>
    <t>Offline Training Fee / Cooperative</t>
  </si>
  <si>
    <t>Enterprise / Banking / API Revenue</t>
  </si>
  <si>
    <t>Cost &amp; Margin Drivers</t>
  </si>
  <si>
    <t>Cloud Cost / Active Coop / Month</t>
  </si>
  <si>
    <t>Implementation Cost / Paid Implementation Coop</t>
  </si>
  <si>
    <t>Support Cost / Active Coop / Month</t>
  </si>
  <si>
    <t>Payment / API Variable Cost % of PPOB Revenue</t>
  </si>
  <si>
    <t>Other Cost of Revenue %</t>
  </si>
  <si>
    <t>Fundraising &amp; Valuation</t>
  </si>
  <si>
    <t>Seed Investment</t>
  </si>
  <si>
    <t>Pre-Money Valuation</t>
  </si>
  <si>
    <t>Exit Revenue Multiple - Conservative</t>
  </si>
  <si>
    <t>Exit Revenue Multiple - Base Case</t>
  </si>
  <si>
    <t>Exit Revenue Multiple - Optimistic</t>
  </si>
  <si>
    <t>03. Customer Growth Model</t>
  </si>
  <si>
    <t>Churned Cooperatives</t>
  </si>
  <si>
    <t>Ending Active Cooperatives</t>
  </si>
  <si>
    <t>Total Cooperative Members</t>
  </si>
  <si>
    <t>YoY Active Coop Growth</t>
  </si>
  <si>
    <t>-</t>
  </si>
  <si>
    <t>04. Revenue Engine</t>
  </si>
  <si>
    <t>Setup / Implementation Revenue</t>
  </si>
  <si>
    <t>SaaS Subscription Revenue</t>
  </si>
  <si>
    <t>iOS Add-on Revenue</t>
  </si>
  <si>
    <t>White Label Revenue</t>
  </si>
  <si>
    <t>PPOB Transaction Revenue</t>
  </si>
  <si>
    <t>Smartcoop Academy Revenue</t>
  </si>
  <si>
    <t>Offline Training Revenue</t>
  </si>
  <si>
    <t>Total Revenue</t>
  </si>
  <si>
    <t>ARR / Recurring SaaS Run-Rate</t>
  </si>
  <si>
    <t>ARPU / Active Coop</t>
  </si>
  <si>
    <t>05. Cost of Revenue (COGS)</t>
  </si>
  <si>
    <t>Cloud Infrastructure</t>
  </si>
  <si>
    <t>Implementation / Onboarding Cost</t>
  </si>
  <si>
    <t>Customer Support Cost</t>
  </si>
  <si>
    <t>Payment / API Variable Cost</t>
  </si>
  <si>
    <t>Other Cost of Revenue</t>
  </si>
  <si>
    <t>Total COGS</t>
  </si>
  <si>
    <t>Gross Profit</t>
  </si>
  <si>
    <t>Gross Margin</t>
  </si>
  <si>
    <t>06. HR Planning</t>
  </si>
  <si>
    <t>Engineering / Product FTE</t>
  </si>
  <si>
    <t>Sales &amp; Partnership FTE</t>
  </si>
  <si>
    <t>Marketing FTE</t>
  </si>
  <si>
    <t>Customer Success / Support FTE</t>
  </si>
  <si>
    <t>Finance / HR / Admin FTE</t>
  </si>
  <si>
    <t>Management / Leadership FTE</t>
  </si>
  <si>
    <t>Total FTE</t>
  </si>
  <si>
    <t>Average Salary / Month</t>
  </si>
  <si>
    <t>Total Payroll</t>
  </si>
  <si>
    <t>07. Operating Expenses</t>
  </si>
  <si>
    <t>Payroll</t>
  </si>
  <si>
    <t>Sales &amp; Marketing Spend</t>
  </si>
  <si>
    <t>Office, Utilities &amp; Internet</t>
  </si>
  <si>
    <t>Software Tools &amp; Subscriptions</t>
  </si>
  <si>
    <t>Legal, Accounting &amp; Compliance</t>
  </si>
  <si>
    <t>Travel &amp; Events</t>
  </si>
  <si>
    <t>Recruitment &amp; Training</t>
  </si>
  <si>
    <t>Other G&amp;A</t>
  </si>
  <si>
    <t>Total OPEX</t>
  </si>
  <si>
    <t>08. EBITDA Summary</t>
  </si>
  <si>
    <t>COGS</t>
  </si>
  <si>
    <t>OPEX</t>
  </si>
  <si>
    <t>EBITDA</t>
  </si>
  <si>
    <t>EBITDA Margin</t>
  </si>
  <si>
    <t>09. Cash Flow &amp; Runway</t>
  </si>
  <si>
    <t>Opening Cash</t>
  </si>
  <si>
    <t>Seed Investment Inflow</t>
  </si>
  <si>
    <t>Ending Cash</t>
  </si>
  <si>
    <t>Average Monthly Burn / Profit</t>
  </si>
  <si>
    <t>Runway (Months)</t>
  </si>
  <si>
    <t>10. SaaS Metrics</t>
  </si>
  <si>
    <t>MRR</t>
  </si>
  <si>
    <t>ARR</t>
  </si>
  <si>
    <t>Monthly Churn</t>
  </si>
  <si>
    <t>Annual Churn</t>
  </si>
  <si>
    <t>Estimated CAC / New Coop</t>
  </si>
  <si>
    <t>Estimated LTV</t>
  </si>
  <si>
    <t>LTV / CAC</t>
  </si>
  <si>
    <t>CAC Payback (Months)</t>
  </si>
  <si>
    <t>Rule of 40</t>
  </si>
  <si>
    <t>11. Valuation</t>
  </si>
  <si>
    <t>Revenue</t>
  </si>
  <si>
    <t>Revenue Multiple - Conservative</t>
  </si>
  <si>
    <t>Revenue Multiple - Base</t>
  </si>
  <si>
    <t>Revenue Multiple - Optimistic</t>
  </si>
  <si>
    <t>Enterprise Value - Conservative</t>
  </si>
  <si>
    <t>Enterprise Value - Base</t>
  </si>
  <si>
    <t>Enterprise Value - Optimistic</t>
  </si>
  <si>
    <t>Seed Pre-Money Valuation</t>
  </si>
  <si>
    <t>Seed Post-Money Valuation</t>
  </si>
  <si>
    <t>Implied Seed Equity %</t>
  </si>
  <si>
    <t>12. Cap Table</t>
  </si>
  <si>
    <t>Shareholder</t>
  </si>
  <si>
    <t>Pre-Seed / Current</t>
  </si>
  <si>
    <t>Post-Seed Ownership</t>
  </si>
  <si>
    <t>Notes</t>
  </si>
  <si>
    <t>Founders / Existing Shareholders</t>
  </si>
  <si>
    <t>Before employee option pool adjustments</t>
  </si>
  <si>
    <t>Employee Option Pool (ESOP)</t>
  </si>
  <si>
    <t>Optional; input can be adjusted</t>
  </si>
  <si>
    <t>Seed Investor</t>
  </si>
  <si>
    <t>Formula uses Seed Investment / Post-Money Valuation</t>
  </si>
  <si>
    <t>Total</t>
  </si>
  <si>
    <t>13. Potential Investor Return</t>
  </si>
  <si>
    <t>Indicator</t>
  </si>
  <si>
    <t>Conservative</t>
  </si>
  <si>
    <t>Base Case</t>
  </si>
  <si>
    <t>Optimistic</t>
  </si>
  <si>
    <t>Projected Revenue (2029)</t>
  </si>
  <si>
    <t>Revenue Multiple</t>
  </si>
  <si>
    <t>Estimated Exit Valuation</t>
  </si>
  <si>
    <t>Investor Equity %</t>
  </si>
  <si>
    <t>Investor Equity Value</t>
  </si>
  <si>
    <t>Initial Investment</t>
  </si>
  <si>
    <t>MOIC</t>
  </si>
  <si>
    <t>Estimated IRR (5 Years)</t>
  </si>
  <si>
    <t>14. Executive Dashboard</t>
  </si>
  <si>
    <t>Smartcoop Financial Model v2.0 - Key Outputs</t>
  </si>
  <si>
    <t>2029 Revenue</t>
  </si>
  <si>
    <t>2029 ARR</t>
  </si>
  <si>
    <t>2029 EBITDA</t>
  </si>
  <si>
    <t>2029 Active Coops</t>
  </si>
  <si>
    <t>Seed Equity %</t>
  </si>
  <si>
    <t>Base Exit Valuation</t>
  </si>
  <si>
    <t>Base MOIC</t>
  </si>
  <si>
    <t>Base IRR</t>
  </si>
  <si>
    <t>Active Cooperatives</t>
  </si>
  <si>
    <t>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</si>
</sst>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\x"/>
    <numFmt numFmtId="166" formatCode="0.0"/>
    <numFmt numFmtId="167" formatCode="#,##0;[Red]\(#,##0\);\-"/>
  </numFmts>
  <fonts count="10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0000FF"/>
      <name val="Carlito"/>
    </font>
    <font>
      <sz val="11"/>
      <color rgb="FF008000"/>
      <name val="Carlito"/>
    </font>
    <font>
      <b/>
      <sz val="11"/>
      <color rgb="FF008000"/>
      <name val="Carlito"/>
    </font>
    <font>
      <b/>
      <sz val="11"/>
      <color rgb="FF000000"/>
      <name val="Carlito"/>
    </font>
    <font>
      <sz val="11"/>
      <color rgb="FF00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2341"/>
      </patternFill>
    </fill>
    <fill>
      <patternFill patternType="solid">
        <fgColor rgb="FFF3F6F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center"/>
    </xf>
    <xf numFmtId="0" fontId="4" fillId="6" borderId="0" xfId="0" applyFont="1" applyFill="1"/>
    <xf numFmtId="0" fontId="2" fillId="4" borderId="1" xfId="0" applyFont="1" applyFill="1" applyBorder="1" applyAlignment="1">
      <alignment horizontal="center" wrapText="1"/>
    </xf>
    <xf numFmtId="0" fontId="4" fillId="6" borderId="0" xfId="0" applyFont="1" applyFill="1" applyAlignment="1">
      <alignment wrapText="1"/>
    </xf>
    <xf numFmtId="0" fontId="6" fillId="7" borderId="0" xfId="0" applyFont="1" applyFill="1" applyAlignment="1">
      <alignment wrapText="1"/>
    </xf>
    <xf numFmtId="164" fontId="4" fillId="6" borderId="0" xfId="0" applyNumberFormat="1" applyFont="1" applyFill="1" applyAlignment="1">
      <alignment wrapText="1"/>
    </xf>
    <xf numFmtId="165" fontId="4" fillId="6" borderId="0" xfId="0" applyNumberFormat="1" applyFont="1" applyFill="1" applyAlignment="1">
      <alignment wrapText="1"/>
    </xf>
    <xf numFmtId="0" fontId="6" fillId="0" borderId="0" xfId="0" applyFont="1"/>
    <xf numFmtId="0" fontId="2" fillId="0" borderId="0" xfId="0" applyFont="1"/>
    <xf numFmtId="164" fontId="6" fillId="0" borderId="0" xfId="0" applyNumberFormat="1" applyFont="1"/>
    <xf numFmtId="0" fontId="2" fillId="7" borderId="0" xfId="0" applyFont="1" applyFill="1"/>
    <xf numFmtId="0" fontId="7" fillId="7" borderId="0" xfId="0" applyFont="1" applyFill="1"/>
    <xf numFmtId="0" fontId="8" fillId="7" borderId="0" xfId="0" applyFont="1" applyFill="1"/>
    <xf numFmtId="165" fontId="6" fillId="0" borderId="0" xfId="0" applyNumberFormat="1" applyFont="1"/>
    <xf numFmtId="166" fontId="6" fillId="0" borderId="0" xfId="0" applyNumberFormat="1" applyFont="1"/>
    <xf numFmtId="164" fontId="4" fillId="6" borderId="0" xfId="0" applyNumberFormat="1" applyFont="1" applyFill="1"/>
    <xf numFmtId="164" fontId="0" fillId="0" borderId="0" xfId="0" applyNumberFormat="1"/>
    <xf numFmtId="164" fontId="9" fillId="0" borderId="0" xfId="0" applyNumberFormat="1" applyFont="1"/>
    <xf numFmtId="0" fontId="2" fillId="3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167" fontId="0" fillId="0" borderId="0" xfId="0" applyNumberFormat="1"/>
    <xf numFmtId="164" fontId="7" fillId="7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167" fontId="1" fillId="2" borderId="0" xfId="0" applyNumberFormat="1" applyFont="1" applyFill="1" applyAlignment="1">
      <alignment horizontal="left"/>
    </xf>
    <xf numFmtId="0" fontId="3" fillId="5" borderId="0" xfId="0" applyFont="1" applyFill="1" applyAlignment="1">
      <alignment horizontal="left" wrapText="1"/>
    </xf>
    <xf numFmtId="0" fontId="5" fillId="6" borderId="0" xfId="0" applyFont="1" applyFill="1" applyAlignment="1">
      <alignment horizontal="left" wrapText="1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Financial Projection Summary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Ref>
              <c:f>'14_Dashboard'!$A$11:$A$18</c:f>
              <c:strCache>
                <c:ptCount val="8"/>
                <c:pt idx="0">
                  <c:v>Metric / Driver</c:v>
                </c:pt>
                <c:pt idx="1">
                  <c:v>Active Cooperatives</c:v>
                </c:pt>
                <c:pt idx="2">
                  <c:v>Members</c:v>
                </c:pt>
                <c:pt idx="3">
                  <c:v>Revenue</c:v>
                </c:pt>
                <c:pt idx="4">
                  <c:v>ARR</c:v>
                </c:pt>
                <c:pt idx="5">
                  <c:v>Gross Margin</c:v>
                </c:pt>
                <c:pt idx="6">
                  <c:v>EBITDA</c:v>
                </c:pt>
                <c:pt idx="7">
                  <c:v>EBITDA Margin</c:v>
                </c:pt>
              </c:strCache>
            </c:strRef>
          </c:cat>
          <c:val>
            <c:numRef>
              <c:f>'14_Dashboard'!$B$11:$B$18</c:f>
              <c:numCache>
                <c:formatCode>General</c:formatCode>
                <c:ptCount val="8"/>
                <c:pt idx="0">
                  <c:v>2025</c:v>
                </c:pt>
                <c:pt idx="1">
                  <c:v>246</c:v>
                </c:pt>
                <c:pt idx="2">
                  <c:v>174906</c:v>
                </c:pt>
                <c:pt idx="3">
                  <c:v>3724565200</c:v>
                </c:pt>
                <c:pt idx="4">
                  <c:v>1712160000</c:v>
                </c:pt>
                <c:pt idx="5" formatCode="0.0%">
                  <c:v>0.75497542209759139</c:v>
                </c:pt>
                <c:pt idx="6">
                  <c:v>-682044816</c:v>
                </c:pt>
                <c:pt idx="7" formatCode="0.0%">
                  <c:v>-0.18312065419072271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F-4B23-A8E7-0721A11CC393}"/>
            </c:ext>
          </c:extLst>
        </c:ser>
        <c:ser>
          <c:idx val="1"/>
          <c:order val="1"/>
          <c:tx>
            <c:v>Series 2</c:v>
          </c:tx>
          <c:cat>
            <c:strRef>
              <c:f>'14_Dashboard'!$A$11:$A$18</c:f>
              <c:strCache>
                <c:ptCount val="8"/>
                <c:pt idx="0">
                  <c:v>Metric / Driver</c:v>
                </c:pt>
                <c:pt idx="1">
                  <c:v>Active Cooperatives</c:v>
                </c:pt>
                <c:pt idx="2">
                  <c:v>Members</c:v>
                </c:pt>
                <c:pt idx="3">
                  <c:v>Revenue</c:v>
                </c:pt>
                <c:pt idx="4">
                  <c:v>ARR</c:v>
                </c:pt>
                <c:pt idx="5">
                  <c:v>Gross Margin</c:v>
                </c:pt>
                <c:pt idx="6">
                  <c:v>EBITDA</c:v>
                </c:pt>
                <c:pt idx="7">
                  <c:v>EBITDA Margin</c:v>
                </c:pt>
              </c:strCache>
            </c:strRef>
          </c:cat>
          <c:val>
            <c:numRef>
              <c:f>'14_Dashboard'!$C$11:$C$18</c:f>
              <c:numCache>
                <c:formatCode>General</c:formatCode>
                <c:ptCount val="8"/>
                <c:pt idx="0">
                  <c:v>2026</c:v>
                </c:pt>
                <c:pt idx="1">
                  <c:v>276</c:v>
                </c:pt>
                <c:pt idx="2">
                  <c:v>193200</c:v>
                </c:pt>
                <c:pt idx="3">
                  <c:v>4188344000</c:v>
                </c:pt>
                <c:pt idx="4">
                  <c:v>1920960000</c:v>
                </c:pt>
                <c:pt idx="5" formatCode="0.0%">
                  <c:v>0.7525570201492523</c:v>
                </c:pt>
                <c:pt idx="6">
                  <c:v>-1486032320</c:v>
                </c:pt>
                <c:pt idx="7" formatCode="0.0%">
                  <c:v>-0.3548018787377541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4F-4B23-A8E7-0721A11CC393}"/>
            </c:ext>
          </c:extLst>
        </c:ser>
        <c:ser>
          <c:idx val="2"/>
          <c:order val="2"/>
          <c:tx>
            <c:v>Series 3</c:v>
          </c:tx>
          <c:cat>
            <c:strRef>
              <c:f>'14_Dashboard'!$A$11:$A$18</c:f>
              <c:strCache>
                <c:ptCount val="8"/>
                <c:pt idx="0">
                  <c:v>Metric / Driver</c:v>
                </c:pt>
                <c:pt idx="1">
                  <c:v>Active Cooperatives</c:v>
                </c:pt>
                <c:pt idx="2">
                  <c:v>Members</c:v>
                </c:pt>
                <c:pt idx="3">
                  <c:v>Revenue</c:v>
                </c:pt>
                <c:pt idx="4">
                  <c:v>ARR</c:v>
                </c:pt>
                <c:pt idx="5">
                  <c:v>Gross Margin</c:v>
                </c:pt>
                <c:pt idx="6">
                  <c:v>EBITDA</c:v>
                </c:pt>
                <c:pt idx="7">
                  <c:v>EBITDA Margin</c:v>
                </c:pt>
              </c:strCache>
            </c:strRef>
          </c:cat>
          <c:val>
            <c:numRef>
              <c:f>'14_Dashboard'!$D$11:$D$18</c:f>
              <c:numCache>
                <c:formatCode>General</c:formatCode>
                <c:ptCount val="8"/>
                <c:pt idx="0">
                  <c:v>2027</c:v>
                </c:pt>
                <c:pt idx="1">
                  <c:v>520</c:v>
                </c:pt>
                <c:pt idx="2">
                  <c:v>213200</c:v>
                </c:pt>
                <c:pt idx="3">
                  <c:v>10143720000</c:v>
                </c:pt>
                <c:pt idx="4">
                  <c:v>3619200000</c:v>
                </c:pt>
                <c:pt idx="5" formatCode="0.0%">
                  <c:v>0.77206204429933001</c:v>
                </c:pt>
                <c:pt idx="6">
                  <c:v>781581200</c:v>
                </c:pt>
                <c:pt idx="7" formatCode="0.0%">
                  <c:v>7.7050746668874931E-2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4F-4B23-A8E7-0721A11CC393}"/>
            </c:ext>
          </c:extLst>
        </c:ser>
        <c:ser>
          <c:idx val="3"/>
          <c:order val="3"/>
          <c:tx>
            <c:v>Series 4</c:v>
          </c:tx>
          <c:cat>
            <c:strRef>
              <c:f>'14_Dashboard'!$A$11:$A$18</c:f>
              <c:strCache>
                <c:ptCount val="8"/>
                <c:pt idx="0">
                  <c:v>Metric / Driver</c:v>
                </c:pt>
                <c:pt idx="1">
                  <c:v>Active Cooperatives</c:v>
                </c:pt>
                <c:pt idx="2">
                  <c:v>Members</c:v>
                </c:pt>
                <c:pt idx="3">
                  <c:v>Revenue</c:v>
                </c:pt>
                <c:pt idx="4">
                  <c:v>ARR</c:v>
                </c:pt>
                <c:pt idx="5">
                  <c:v>Gross Margin</c:v>
                </c:pt>
                <c:pt idx="6">
                  <c:v>EBITDA</c:v>
                </c:pt>
                <c:pt idx="7">
                  <c:v>EBITDA Margin</c:v>
                </c:pt>
              </c:strCache>
            </c:strRef>
          </c:cat>
          <c:val>
            <c:numRef>
              <c:f>'14_Dashboard'!$E$11:$E$18</c:f>
              <c:numCache>
                <c:formatCode>General</c:formatCode>
                <c:ptCount val="8"/>
                <c:pt idx="0">
                  <c:v>2028</c:v>
                </c:pt>
                <c:pt idx="1">
                  <c:v>912</c:v>
                </c:pt>
                <c:pt idx="2">
                  <c:v>437760</c:v>
                </c:pt>
                <c:pt idx="3">
                  <c:v>18097344000</c:v>
                </c:pt>
                <c:pt idx="4">
                  <c:v>6347520000</c:v>
                </c:pt>
                <c:pt idx="5" formatCode="0.0%">
                  <c:v>0.81644355326394857</c:v>
                </c:pt>
                <c:pt idx="6">
                  <c:v>4507459840</c:v>
                </c:pt>
                <c:pt idx="7" formatCode="0.0%">
                  <c:v>0.24906747863111847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4F-4B23-A8E7-0721A11CC393}"/>
            </c:ext>
          </c:extLst>
        </c:ser>
        <c:ser>
          <c:idx val="4"/>
          <c:order val="4"/>
          <c:tx>
            <c:v>Series 5</c:v>
          </c:tx>
          <c:cat>
            <c:strRef>
              <c:f>'14_Dashboard'!$A$11:$A$18</c:f>
              <c:strCache>
                <c:ptCount val="8"/>
                <c:pt idx="0">
                  <c:v>Metric / Driver</c:v>
                </c:pt>
                <c:pt idx="1">
                  <c:v>Active Cooperatives</c:v>
                </c:pt>
                <c:pt idx="2">
                  <c:v>Members</c:v>
                </c:pt>
                <c:pt idx="3">
                  <c:v>Revenue</c:v>
                </c:pt>
                <c:pt idx="4">
                  <c:v>ARR</c:v>
                </c:pt>
                <c:pt idx="5">
                  <c:v>Gross Margin</c:v>
                </c:pt>
                <c:pt idx="6">
                  <c:v>EBITDA</c:v>
                </c:pt>
                <c:pt idx="7">
                  <c:v>EBITDA Margin</c:v>
                </c:pt>
              </c:strCache>
            </c:strRef>
          </c:cat>
          <c:val>
            <c:numRef>
              <c:f>'14_Dashboard'!$F$11:$F$18</c:f>
              <c:numCache>
                <c:formatCode>General</c:formatCode>
                <c:ptCount val="8"/>
                <c:pt idx="0">
                  <c:v>2029</c:v>
                </c:pt>
                <c:pt idx="1">
                  <c:v>1403</c:v>
                </c:pt>
                <c:pt idx="2">
                  <c:v>752008</c:v>
                </c:pt>
                <c:pt idx="3">
                  <c:v>32054985600</c:v>
                </c:pt>
                <c:pt idx="4">
                  <c:v>9764880000</c:v>
                </c:pt>
                <c:pt idx="5" formatCode="0.0%">
                  <c:v>0.85724888673791821</c:v>
                </c:pt>
                <c:pt idx="6">
                  <c:v>12529100720</c:v>
                </c:pt>
                <c:pt idx="7" formatCode="0.0%">
                  <c:v>0.39086277798858221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4F-4B23-A8E7-0721A11CC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sqref="A1:H1"/>
    </sheetView>
  </sheetViews>
  <sheetFormatPr defaultRowHeight="13.8"/>
  <cols>
    <col min="1" max="1" width="22" customWidth="1"/>
    <col min="2" max="2" width="70" customWidth="1"/>
  </cols>
  <sheetData>
    <row r="1" spans="1:8" ht="22.35" customHeight="1">
      <c r="A1" s="25" t="s">
        <v>0</v>
      </c>
      <c r="B1" s="26"/>
      <c r="C1" s="26"/>
      <c r="D1" s="26"/>
      <c r="E1" s="26"/>
      <c r="F1" s="26"/>
      <c r="G1" s="26"/>
      <c r="H1" s="26"/>
    </row>
    <row r="3" spans="1:8">
      <c r="A3" s="1" t="s">
        <v>1</v>
      </c>
      <c r="B3" s="2" t="s">
        <v>2</v>
      </c>
    </row>
    <row r="4" spans="1:8">
      <c r="A4" s="1" t="s">
        <v>3</v>
      </c>
      <c r="B4" s="2" t="s">
        <v>4</v>
      </c>
    </row>
    <row r="5" spans="1:8">
      <c r="A5" s="1" t="s">
        <v>5</v>
      </c>
      <c r="B5" s="2" t="s">
        <v>6</v>
      </c>
    </row>
    <row r="6" spans="1:8">
      <c r="A6" s="1" t="s">
        <v>7</v>
      </c>
      <c r="B6" s="2" t="s">
        <v>8</v>
      </c>
    </row>
    <row r="7" spans="1:8">
      <c r="A7" s="1" t="s">
        <v>9</v>
      </c>
      <c r="B7" s="2" t="s">
        <v>10</v>
      </c>
    </row>
    <row r="8" spans="1:8">
      <c r="A8" s="1" t="s">
        <v>11</v>
      </c>
      <c r="B8" s="2" t="s">
        <v>12</v>
      </c>
    </row>
    <row r="9" spans="1:8">
      <c r="A9" s="1" t="s">
        <v>13</v>
      </c>
      <c r="B9" s="2" t="s">
        <v>14</v>
      </c>
    </row>
    <row r="10" spans="1:8">
      <c r="A10" s="1" t="s">
        <v>15</v>
      </c>
      <c r="B10" s="2" t="s">
        <v>16</v>
      </c>
    </row>
    <row r="11" spans="1:8">
      <c r="A11" s="1" t="s">
        <v>17</v>
      </c>
      <c r="B11" s="2" t="s">
        <v>18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topLeftCell="A28" workbookViewId="0">
      <selection activeCell="B38" sqref="B38"/>
    </sheetView>
  </sheetViews>
  <sheetFormatPr defaultRowHeight="13.8"/>
  <cols>
    <col min="1" max="1" width="42" customWidth="1"/>
    <col min="2" max="6" width="16" customWidth="1"/>
  </cols>
  <sheetData>
    <row r="1" spans="1:8" ht="22.35" customHeight="1">
      <c r="A1" s="25" t="s">
        <v>19</v>
      </c>
      <c r="B1" s="26"/>
      <c r="C1" s="26"/>
      <c r="D1" s="26"/>
      <c r="E1" s="26"/>
      <c r="F1" s="26"/>
      <c r="G1" s="23"/>
      <c r="H1" s="23"/>
    </row>
    <row r="3" spans="1:8">
      <c r="A3" s="5" t="s">
        <v>20</v>
      </c>
      <c r="B3" s="5">
        <v>2025</v>
      </c>
      <c r="C3" s="5">
        <v>2026</v>
      </c>
      <c r="D3" s="5">
        <v>2027</v>
      </c>
      <c r="E3" s="5">
        <v>2028</v>
      </c>
      <c r="F3" s="5">
        <v>2029</v>
      </c>
    </row>
    <row r="4" spans="1:8">
      <c r="A4" s="2"/>
      <c r="B4" s="2"/>
      <c r="C4" s="2"/>
      <c r="D4" s="2"/>
      <c r="E4" s="2"/>
      <c r="F4" s="2"/>
    </row>
    <row r="5" spans="1:8" ht="17.55" customHeight="1">
      <c r="A5" s="27" t="s">
        <v>21</v>
      </c>
      <c r="B5" s="27"/>
      <c r="C5" s="27"/>
      <c r="D5" s="27"/>
      <c r="E5" s="27"/>
      <c r="F5" s="27"/>
    </row>
    <row r="6" spans="1:8">
      <c r="A6" s="2" t="s">
        <v>22</v>
      </c>
      <c r="B6" s="6">
        <v>215</v>
      </c>
      <c r="C6" s="7">
        <f>'03_Customer_Growth'!B8</f>
        <v>246</v>
      </c>
      <c r="D6" s="7">
        <f>'03_Customer_Growth'!C8</f>
        <v>276</v>
      </c>
      <c r="E6" s="7">
        <f>'03_Customer_Growth'!D8</f>
        <v>520</v>
      </c>
      <c r="F6" s="7">
        <f>'03_Customer_Growth'!E8</f>
        <v>912</v>
      </c>
    </row>
    <row r="7" spans="1:8">
      <c r="A7" s="2" t="s">
        <v>23</v>
      </c>
      <c r="B7" s="6">
        <v>35</v>
      </c>
      <c r="C7" s="6">
        <v>35</v>
      </c>
      <c r="D7" s="6">
        <v>250</v>
      </c>
      <c r="E7" s="6">
        <v>400</v>
      </c>
      <c r="F7" s="6">
        <v>500</v>
      </c>
    </row>
    <row r="8" spans="1:8">
      <c r="A8" s="2" t="s">
        <v>24</v>
      </c>
      <c r="B8" s="8">
        <v>0.02</v>
      </c>
      <c r="C8" s="8">
        <v>0.02</v>
      </c>
      <c r="D8" s="8">
        <v>0.02</v>
      </c>
      <c r="E8" s="8">
        <v>1.4999999999999999E-2</v>
      </c>
      <c r="F8" s="8">
        <v>0.01</v>
      </c>
    </row>
    <row r="9" spans="1:8">
      <c r="A9" s="2" t="s">
        <v>25</v>
      </c>
      <c r="B9" s="6">
        <v>711</v>
      </c>
      <c r="C9" s="6">
        <v>700</v>
      </c>
      <c r="D9" s="6">
        <v>410</v>
      </c>
      <c r="E9" s="6">
        <v>480</v>
      </c>
      <c r="F9" s="6">
        <v>536</v>
      </c>
    </row>
    <row r="10" spans="1:8">
      <c r="A10" s="2" t="s">
        <v>26</v>
      </c>
      <c r="B10" s="8">
        <v>1</v>
      </c>
      <c r="C10" s="8">
        <v>1</v>
      </c>
      <c r="D10" s="8">
        <v>1</v>
      </c>
      <c r="E10" s="8">
        <v>1</v>
      </c>
      <c r="F10" s="8">
        <v>1</v>
      </c>
    </row>
    <row r="11" spans="1:8">
      <c r="A11" s="2"/>
      <c r="B11" s="6"/>
      <c r="C11" s="6"/>
      <c r="D11" s="6"/>
      <c r="E11" s="6"/>
      <c r="F11" s="6"/>
    </row>
    <row r="12" spans="1:8" ht="17.55" customHeight="1">
      <c r="A12" s="27" t="s">
        <v>27</v>
      </c>
      <c r="B12" s="28"/>
      <c r="C12" s="28"/>
      <c r="D12" s="28"/>
      <c r="E12" s="28"/>
      <c r="F12" s="28"/>
    </row>
    <row r="13" spans="1:8">
      <c r="A13" s="2" t="s">
        <v>28</v>
      </c>
      <c r="B13" s="6">
        <v>40000000</v>
      </c>
      <c r="C13" s="6">
        <v>40000000</v>
      </c>
      <c r="D13" s="6">
        <v>40000000</v>
      </c>
      <c r="E13" s="6">
        <v>40000000</v>
      </c>
      <c r="F13" s="6">
        <v>40000000</v>
      </c>
    </row>
    <row r="14" spans="1:8">
      <c r="A14" s="2" t="s">
        <v>29</v>
      </c>
      <c r="B14" s="6">
        <v>25</v>
      </c>
      <c r="C14" s="6">
        <v>30</v>
      </c>
      <c r="D14" s="6">
        <v>130</v>
      </c>
      <c r="E14" s="6">
        <v>180</v>
      </c>
      <c r="F14" s="6">
        <v>260</v>
      </c>
    </row>
    <row r="15" spans="1:8">
      <c r="A15" s="2" t="s">
        <v>30</v>
      </c>
      <c r="B15" s="6">
        <v>500000</v>
      </c>
      <c r="C15" s="6">
        <v>500000</v>
      </c>
      <c r="D15" s="6">
        <v>500000</v>
      </c>
      <c r="E15" s="6">
        <v>500000</v>
      </c>
      <c r="F15" s="6">
        <v>500000</v>
      </c>
    </row>
    <row r="16" spans="1:8">
      <c r="A16" s="2" t="s">
        <v>31</v>
      </c>
      <c r="B16" s="6">
        <v>200000</v>
      </c>
      <c r="C16" s="6">
        <v>200000</v>
      </c>
      <c r="D16" s="6">
        <v>200000</v>
      </c>
      <c r="E16" s="6">
        <v>200000</v>
      </c>
      <c r="F16" s="6">
        <v>200000</v>
      </c>
    </row>
    <row r="17" spans="1:6">
      <c r="A17" s="2" t="s">
        <v>32</v>
      </c>
      <c r="B17" s="8">
        <v>0.4</v>
      </c>
      <c r="C17" s="8">
        <v>0.4</v>
      </c>
      <c r="D17" s="8">
        <v>0.4</v>
      </c>
      <c r="E17" s="8">
        <v>0.4</v>
      </c>
      <c r="F17" s="8">
        <v>0.4</v>
      </c>
    </row>
    <row r="18" spans="1:6">
      <c r="A18" s="2" t="s">
        <v>33</v>
      </c>
      <c r="B18" s="6">
        <v>3</v>
      </c>
      <c r="C18" s="6">
        <v>4</v>
      </c>
      <c r="D18" s="6">
        <v>8</v>
      </c>
      <c r="E18" s="6">
        <v>15</v>
      </c>
      <c r="F18" s="6">
        <v>25</v>
      </c>
    </row>
    <row r="19" spans="1:6">
      <c r="A19" s="2" t="s">
        <v>34</v>
      </c>
      <c r="B19" s="6">
        <v>20000000</v>
      </c>
      <c r="C19" s="6">
        <v>20000000</v>
      </c>
      <c r="D19" s="6">
        <v>20000000</v>
      </c>
      <c r="E19" s="6">
        <v>20000000</v>
      </c>
      <c r="F19" s="6">
        <v>20000000</v>
      </c>
    </row>
    <row r="20" spans="1:6">
      <c r="A20" s="2" t="s">
        <v>35</v>
      </c>
      <c r="B20" s="8">
        <v>0.6</v>
      </c>
      <c r="C20" s="8">
        <v>0.6</v>
      </c>
      <c r="D20" s="8">
        <v>0.6</v>
      </c>
      <c r="E20" s="8">
        <v>0.65</v>
      </c>
      <c r="F20" s="8">
        <v>0.7</v>
      </c>
    </row>
    <row r="21" spans="1:6">
      <c r="A21" s="2" t="s">
        <v>36</v>
      </c>
      <c r="B21" s="6">
        <v>20</v>
      </c>
      <c r="C21" s="6">
        <v>20</v>
      </c>
      <c r="D21" s="6">
        <v>20</v>
      </c>
      <c r="E21" s="6">
        <v>20</v>
      </c>
      <c r="F21" s="6">
        <v>20</v>
      </c>
    </row>
    <row r="22" spans="1:6">
      <c r="A22" s="2" t="s">
        <v>37</v>
      </c>
      <c r="B22" s="6">
        <v>1000</v>
      </c>
      <c r="C22" s="6">
        <v>1000</v>
      </c>
      <c r="D22" s="6">
        <v>1000</v>
      </c>
      <c r="E22" s="6">
        <v>1000</v>
      </c>
      <c r="F22" s="6">
        <v>1000</v>
      </c>
    </row>
    <row r="23" spans="1:6">
      <c r="A23" s="2" t="s">
        <v>38</v>
      </c>
      <c r="B23" s="8">
        <v>1E-3</v>
      </c>
      <c r="C23" s="8">
        <v>1E-3</v>
      </c>
      <c r="D23" s="8">
        <v>1E-3</v>
      </c>
      <c r="E23" s="8">
        <v>1E-3</v>
      </c>
      <c r="F23" s="8">
        <v>1E-3</v>
      </c>
    </row>
    <row r="24" spans="1:6">
      <c r="A24" s="2" t="s">
        <v>39</v>
      </c>
      <c r="B24" s="6">
        <v>200000</v>
      </c>
      <c r="C24" s="6">
        <v>200000</v>
      </c>
      <c r="D24" s="6">
        <v>200000</v>
      </c>
      <c r="E24" s="6">
        <v>200000</v>
      </c>
      <c r="F24" s="6">
        <v>200000</v>
      </c>
    </row>
    <row r="25" spans="1:6">
      <c r="A25" s="2" t="s">
        <v>40</v>
      </c>
      <c r="B25" s="6">
        <v>7</v>
      </c>
      <c r="C25" s="6">
        <v>8</v>
      </c>
      <c r="D25" s="6">
        <v>10</v>
      </c>
      <c r="E25" s="6">
        <v>12</v>
      </c>
      <c r="F25" s="6">
        <v>15</v>
      </c>
    </row>
    <row r="26" spans="1:6">
      <c r="A26" s="2" t="s">
        <v>41</v>
      </c>
      <c r="B26" s="6">
        <v>2500000</v>
      </c>
      <c r="C26" s="6">
        <v>2500000</v>
      </c>
      <c r="D26" s="6">
        <v>2500000</v>
      </c>
      <c r="E26" s="6">
        <v>2500000</v>
      </c>
      <c r="F26" s="6">
        <v>2500000</v>
      </c>
    </row>
    <row r="27" spans="1:6">
      <c r="A27" s="2" t="s">
        <v>42</v>
      </c>
      <c r="B27" s="6">
        <v>672000000</v>
      </c>
      <c r="C27" s="6">
        <v>669000000</v>
      </c>
      <c r="D27" s="6">
        <v>747000000</v>
      </c>
      <c r="E27" s="6">
        <v>3660000000</v>
      </c>
      <c r="F27" s="6">
        <v>10554000000</v>
      </c>
    </row>
    <row r="28" spans="1:6">
      <c r="A28" s="2"/>
      <c r="B28" s="6"/>
      <c r="C28" s="6"/>
      <c r="D28" s="6"/>
      <c r="E28" s="6"/>
      <c r="F28" s="6"/>
    </row>
    <row r="29" spans="1:6" ht="17.55" customHeight="1">
      <c r="A29" s="27" t="s">
        <v>43</v>
      </c>
      <c r="B29" s="28"/>
      <c r="C29" s="28"/>
      <c r="D29" s="28"/>
      <c r="E29" s="28"/>
      <c r="F29" s="28"/>
    </row>
    <row r="30" spans="1:6">
      <c r="A30" s="2" t="s">
        <v>44</v>
      </c>
      <c r="B30" s="6">
        <v>80000</v>
      </c>
      <c r="C30" s="6">
        <v>80000</v>
      </c>
      <c r="D30" s="6">
        <v>70000</v>
      </c>
      <c r="E30" s="6">
        <v>60000</v>
      </c>
      <c r="F30" s="6">
        <v>50000</v>
      </c>
    </row>
    <row r="31" spans="1:6">
      <c r="A31" s="2" t="s">
        <v>45</v>
      </c>
      <c r="B31" s="6">
        <v>6000000</v>
      </c>
      <c r="C31" s="6">
        <v>6000000</v>
      </c>
      <c r="D31" s="6">
        <v>5500000</v>
      </c>
      <c r="E31" s="6">
        <v>5000000</v>
      </c>
      <c r="F31" s="6">
        <v>4500000</v>
      </c>
    </row>
    <row r="32" spans="1:6">
      <c r="A32" s="2" t="s">
        <v>46</v>
      </c>
      <c r="B32" s="6">
        <v>75000</v>
      </c>
      <c r="C32" s="6">
        <v>75000</v>
      </c>
      <c r="D32" s="6">
        <v>70000</v>
      </c>
      <c r="E32" s="6">
        <v>60000</v>
      </c>
      <c r="F32" s="6">
        <v>55000</v>
      </c>
    </row>
    <row r="33" spans="1:6">
      <c r="A33" s="2" t="s">
        <v>47</v>
      </c>
      <c r="B33" s="8">
        <v>0.2</v>
      </c>
      <c r="C33" s="8">
        <v>0.2</v>
      </c>
      <c r="D33" s="8">
        <v>0.18</v>
      </c>
      <c r="E33" s="8">
        <v>0.16</v>
      </c>
      <c r="F33" s="8">
        <v>0.15</v>
      </c>
    </row>
    <row r="34" spans="1:6">
      <c r="A34" s="2" t="s">
        <v>48</v>
      </c>
      <c r="B34" s="8">
        <v>0.08</v>
      </c>
      <c r="C34" s="8">
        <v>0.08</v>
      </c>
      <c r="D34" s="8">
        <v>7.0000000000000007E-2</v>
      </c>
      <c r="E34" s="8">
        <v>0.06</v>
      </c>
      <c r="F34" s="8">
        <v>0.05</v>
      </c>
    </row>
    <row r="35" spans="1:6">
      <c r="A35" s="2"/>
      <c r="B35" s="6"/>
      <c r="C35" s="6"/>
      <c r="D35" s="6"/>
      <c r="E35" s="6"/>
      <c r="F35" s="6"/>
    </row>
    <row r="36" spans="1:6" ht="17.55" customHeight="1">
      <c r="A36" s="27" t="s">
        <v>49</v>
      </c>
      <c r="B36" s="28"/>
      <c r="C36" s="28"/>
      <c r="D36" s="28"/>
      <c r="E36" s="28"/>
      <c r="F36" s="28"/>
    </row>
    <row r="37" spans="1:6">
      <c r="A37" s="2" t="s">
        <v>50</v>
      </c>
      <c r="B37" s="6">
        <v>8250000000</v>
      </c>
      <c r="C37" s="6">
        <v>8250000000</v>
      </c>
      <c r="D37" s="6">
        <v>8250000000</v>
      </c>
      <c r="E37" s="6">
        <v>8250000000</v>
      </c>
      <c r="F37" s="6">
        <v>8250000000</v>
      </c>
    </row>
    <row r="38" spans="1:6">
      <c r="A38" s="2" t="s">
        <v>51</v>
      </c>
      <c r="B38" s="6">
        <v>46200000000</v>
      </c>
      <c r="C38" s="6">
        <v>46200000000</v>
      </c>
      <c r="D38" s="6">
        <v>46200000000</v>
      </c>
      <c r="E38" s="6">
        <v>46200000000</v>
      </c>
      <c r="F38" s="6">
        <v>46200000000</v>
      </c>
    </row>
    <row r="39" spans="1:6">
      <c r="A39" s="2" t="s">
        <v>52</v>
      </c>
      <c r="B39" s="9">
        <v>3</v>
      </c>
      <c r="C39" s="9">
        <v>3</v>
      </c>
      <c r="D39" s="9">
        <v>3</v>
      </c>
      <c r="E39" s="9">
        <v>3</v>
      </c>
      <c r="F39" s="9">
        <v>3</v>
      </c>
    </row>
    <row r="40" spans="1:6">
      <c r="A40" s="2" t="s">
        <v>53</v>
      </c>
      <c r="B40" s="9">
        <v>5</v>
      </c>
      <c r="C40" s="9">
        <v>5</v>
      </c>
      <c r="D40" s="9">
        <v>5</v>
      </c>
      <c r="E40" s="9">
        <v>5</v>
      </c>
      <c r="F40" s="9">
        <v>5</v>
      </c>
    </row>
    <row r="41" spans="1:6">
      <c r="A41" s="2" t="s">
        <v>54</v>
      </c>
      <c r="B41" s="9">
        <v>7</v>
      </c>
      <c r="C41" s="9">
        <v>7</v>
      </c>
      <c r="D41" s="9">
        <v>7</v>
      </c>
      <c r="E41" s="9">
        <v>7</v>
      </c>
      <c r="F41" s="9">
        <v>7</v>
      </c>
    </row>
  </sheetData>
  <mergeCells count="5">
    <mergeCell ref="A1:F1"/>
    <mergeCell ref="A5:F5"/>
    <mergeCell ref="A12:F12"/>
    <mergeCell ref="A29:F29"/>
    <mergeCell ref="A36:F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sqref="A1:F1"/>
    </sheetView>
  </sheetViews>
  <sheetFormatPr defaultRowHeight="13.8"/>
  <cols>
    <col min="1" max="1" width="38" customWidth="1"/>
    <col min="2" max="6" width="16" customWidth="1"/>
  </cols>
  <sheetData>
    <row r="1" spans="1:8" ht="22.35" customHeight="1">
      <c r="A1" s="25" t="s">
        <v>55</v>
      </c>
      <c r="B1" s="26"/>
      <c r="C1" s="26"/>
      <c r="D1" s="26"/>
      <c r="E1" s="26"/>
      <c r="F1" s="26"/>
      <c r="G1" s="23"/>
      <c r="H1" s="23"/>
    </row>
    <row r="3" spans="1:8">
      <c r="A3" s="3" t="s">
        <v>20</v>
      </c>
      <c r="B3" s="3">
        <v>2025</v>
      </c>
      <c r="C3" s="3">
        <v>2026</v>
      </c>
      <c r="D3" s="3">
        <v>2027</v>
      </c>
      <c r="E3" s="3">
        <v>2028</v>
      </c>
      <c r="F3" s="3">
        <v>2029</v>
      </c>
    </row>
    <row r="5" spans="1:8">
      <c r="A5" s="11" t="s">
        <v>22</v>
      </c>
      <c r="B5" s="10">
        <f>'02_Assumptions'!B6</f>
        <v>215</v>
      </c>
      <c r="C5" s="10">
        <f>'02_Assumptions'!C6</f>
        <v>246</v>
      </c>
      <c r="D5" s="10">
        <f>'02_Assumptions'!D6</f>
        <v>276</v>
      </c>
      <c r="E5" s="10">
        <f>'02_Assumptions'!E6</f>
        <v>520</v>
      </c>
      <c r="F5" s="10">
        <f>'02_Assumptions'!F6</f>
        <v>912</v>
      </c>
    </row>
    <row r="6" spans="1:8">
      <c r="A6" s="11" t="s">
        <v>23</v>
      </c>
      <c r="B6" s="10">
        <f>'02_Assumptions'!B7</f>
        <v>35</v>
      </c>
      <c r="C6" s="10">
        <f>'02_Assumptions'!C7</f>
        <v>35</v>
      </c>
      <c r="D6" s="10">
        <f>'02_Assumptions'!D7</f>
        <v>250</v>
      </c>
      <c r="E6" s="10">
        <f>'02_Assumptions'!E7</f>
        <v>400</v>
      </c>
      <c r="F6" s="10">
        <f>'02_Assumptions'!F7</f>
        <v>500</v>
      </c>
    </row>
    <row r="7" spans="1:8">
      <c r="A7" s="11" t="s">
        <v>56</v>
      </c>
      <c r="B7" s="10">
        <f>ROUND(B5*'02_Assumptions'!B8,0)</f>
        <v>4</v>
      </c>
      <c r="C7" s="10">
        <f>ROUND(C5*'02_Assumptions'!C8,0)</f>
        <v>5</v>
      </c>
      <c r="D7" s="10">
        <f>ROUND(D5*'02_Assumptions'!D8,0)</f>
        <v>6</v>
      </c>
      <c r="E7" s="10">
        <f>ROUND(E5*'02_Assumptions'!E8,0)</f>
        <v>8</v>
      </c>
      <c r="F7" s="10">
        <f>ROUND(F5*'02_Assumptions'!F8,0)</f>
        <v>9</v>
      </c>
    </row>
    <row r="8" spans="1:8">
      <c r="A8" s="11" t="s">
        <v>57</v>
      </c>
      <c r="B8" s="10">
        <f>B5+B6-B7</f>
        <v>246</v>
      </c>
      <c r="C8" s="10">
        <f>C5+C6-C7</f>
        <v>276</v>
      </c>
      <c r="D8" s="10">
        <f>D5+D6-D7</f>
        <v>520</v>
      </c>
      <c r="E8" s="10">
        <f>E5+E6-E7</f>
        <v>912</v>
      </c>
      <c r="F8" s="10">
        <f>F5+F6-F7</f>
        <v>1403</v>
      </c>
    </row>
    <row r="9" spans="1:8">
      <c r="A9" s="11" t="s">
        <v>25</v>
      </c>
      <c r="B9" s="10">
        <f>'02_Assumptions'!B9</f>
        <v>711</v>
      </c>
      <c r="C9" s="10">
        <f>'02_Assumptions'!C9</f>
        <v>700</v>
      </c>
      <c r="D9" s="10">
        <f>'02_Assumptions'!D9</f>
        <v>410</v>
      </c>
      <c r="E9" s="10">
        <f>'02_Assumptions'!E9</f>
        <v>480</v>
      </c>
      <c r="F9" s="10">
        <f>'02_Assumptions'!F9</f>
        <v>536</v>
      </c>
    </row>
    <row r="10" spans="1:8">
      <c r="A10" s="11" t="s">
        <v>58</v>
      </c>
      <c r="B10" s="10">
        <f>B8*B9</f>
        <v>174906</v>
      </c>
      <c r="C10" s="10">
        <f>C8*C9</f>
        <v>193200</v>
      </c>
      <c r="D10" s="10">
        <f>D8*D9</f>
        <v>213200</v>
      </c>
      <c r="E10" s="10">
        <f>E8*E9</f>
        <v>437760</v>
      </c>
      <c r="F10" s="10">
        <f>F8*F9</f>
        <v>752008</v>
      </c>
    </row>
    <row r="11" spans="1:8">
      <c r="A11" s="11" t="s">
        <v>59</v>
      </c>
      <c r="B11" s="10" t="s">
        <v>60</v>
      </c>
      <c r="C11" s="12">
        <f>IF(B8=0,0,C8/B8-1)</f>
        <v>0.12195121951219523</v>
      </c>
      <c r="D11" s="12">
        <f>IF(C8=0,0,D8/C8-1)</f>
        <v>0.88405797101449268</v>
      </c>
      <c r="E11" s="12">
        <f>IF(D8=0,0,E8/D8-1)</f>
        <v>0.75384615384615383</v>
      </c>
      <c r="F11" s="12">
        <f>IF(E8=0,0,F8/E8-1)</f>
        <v>0.53837719298245612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sqref="A1:F1"/>
    </sheetView>
  </sheetViews>
  <sheetFormatPr defaultRowHeight="13.8"/>
  <cols>
    <col min="1" max="1" width="38" customWidth="1"/>
    <col min="2" max="6" width="16" customWidth="1"/>
  </cols>
  <sheetData>
    <row r="1" spans="1:8" ht="22.35" customHeight="1">
      <c r="A1" s="25" t="s">
        <v>61</v>
      </c>
      <c r="B1" s="26"/>
      <c r="C1" s="26"/>
      <c r="D1" s="26"/>
      <c r="E1" s="26"/>
      <c r="F1" s="26"/>
      <c r="G1" s="23"/>
      <c r="H1" s="23"/>
    </row>
    <row r="3" spans="1:8">
      <c r="A3" s="3" t="s">
        <v>20</v>
      </c>
      <c r="B3" s="3">
        <v>2025</v>
      </c>
      <c r="C3" s="3">
        <v>2026</v>
      </c>
      <c r="D3" s="3">
        <v>2027</v>
      </c>
      <c r="E3" s="3">
        <v>2028</v>
      </c>
      <c r="F3" s="3">
        <v>2029</v>
      </c>
    </row>
    <row r="5" spans="1:8">
      <c r="A5" t="s">
        <v>62</v>
      </c>
      <c r="B5" s="10">
        <f>'02_Assumptions'!B14*'02_Assumptions'!B13</f>
        <v>1000000000</v>
      </c>
      <c r="C5" s="10">
        <f>'02_Assumptions'!C14*'02_Assumptions'!C13</f>
        <v>1200000000</v>
      </c>
      <c r="D5" s="10">
        <f>'02_Assumptions'!D14*'02_Assumptions'!D13</f>
        <v>5200000000</v>
      </c>
      <c r="E5" s="10">
        <f>'02_Assumptions'!E14*'02_Assumptions'!E13</f>
        <v>7200000000</v>
      </c>
      <c r="F5" s="10">
        <f>'02_Assumptions'!F14*'02_Assumptions'!F13</f>
        <v>10400000000</v>
      </c>
    </row>
    <row r="6" spans="1:8">
      <c r="A6" t="s">
        <v>63</v>
      </c>
      <c r="B6" s="10">
        <f>'03_Customer_Growth'!B8*'02_Assumptions'!B10*'02_Assumptions'!B15*12</f>
        <v>1476000000</v>
      </c>
      <c r="C6" s="10">
        <f>'03_Customer_Growth'!C8*'02_Assumptions'!C10*'02_Assumptions'!C15*12</f>
        <v>1656000000</v>
      </c>
      <c r="D6" s="10">
        <f>'03_Customer_Growth'!D8*'02_Assumptions'!D10*'02_Assumptions'!D15*12</f>
        <v>3120000000</v>
      </c>
      <c r="E6" s="10">
        <f>'03_Customer_Growth'!E8*'02_Assumptions'!E10*'02_Assumptions'!E15*12</f>
        <v>5472000000</v>
      </c>
      <c r="F6" s="10">
        <f>'03_Customer_Growth'!F8*'02_Assumptions'!F10*'02_Assumptions'!F15*12</f>
        <v>8418000000</v>
      </c>
    </row>
    <row r="7" spans="1:8">
      <c r="A7" t="s">
        <v>64</v>
      </c>
      <c r="B7" s="10">
        <f>'03_Customer_Growth'!B8*'02_Assumptions'!B17*'02_Assumptions'!B16*12</f>
        <v>236160000</v>
      </c>
      <c r="C7" s="10">
        <f>'03_Customer_Growth'!C8*'02_Assumptions'!C17*'02_Assumptions'!C16*12</f>
        <v>264960000</v>
      </c>
      <c r="D7" s="10">
        <f>'03_Customer_Growth'!D8*'02_Assumptions'!D17*'02_Assumptions'!D16*12</f>
        <v>499200000</v>
      </c>
      <c r="E7" s="10">
        <f>'03_Customer_Growth'!E8*'02_Assumptions'!E17*'02_Assumptions'!E16*12</f>
        <v>875520000</v>
      </c>
      <c r="F7" s="10">
        <f>'03_Customer_Growth'!F8*'02_Assumptions'!F17*'02_Assumptions'!F16*12</f>
        <v>1346880000.0000002</v>
      </c>
    </row>
    <row r="8" spans="1:8">
      <c r="A8" t="s">
        <v>65</v>
      </c>
      <c r="B8" s="10">
        <f>'02_Assumptions'!B18*'02_Assumptions'!B19</f>
        <v>60000000</v>
      </c>
      <c r="C8" s="10">
        <f>'02_Assumptions'!C18*'02_Assumptions'!C19</f>
        <v>80000000</v>
      </c>
      <c r="D8" s="10">
        <f>'02_Assumptions'!D18*'02_Assumptions'!D19</f>
        <v>160000000</v>
      </c>
      <c r="E8" s="10">
        <f>'02_Assumptions'!E18*'02_Assumptions'!E19</f>
        <v>300000000</v>
      </c>
      <c r="F8" s="10">
        <f>'02_Assumptions'!F18*'02_Assumptions'!F19</f>
        <v>500000000</v>
      </c>
    </row>
    <row r="9" spans="1:8">
      <c r="A9" t="s">
        <v>66</v>
      </c>
      <c r="B9" s="10">
        <f>'03_Customer_Growth'!B8*'02_Assumptions'!B20*'02_Assumptions'!B21*12*'02_Assumptions'!B22</f>
        <v>35424000</v>
      </c>
      <c r="C9" s="10">
        <f>'03_Customer_Growth'!C8*'02_Assumptions'!C20*'02_Assumptions'!C21*12*'02_Assumptions'!C22</f>
        <v>39744000</v>
      </c>
      <c r="D9" s="10">
        <f>'03_Customer_Growth'!D8*'02_Assumptions'!D20*'02_Assumptions'!D21*12*'02_Assumptions'!D22</f>
        <v>74880000</v>
      </c>
      <c r="E9" s="10">
        <f>'03_Customer_Growth'!E8*'02_Assumptions'!E20*'02_Assumptions'!E21*12*'02_Assumptions'!E22</f>
        <v>142272000.00000003</v>
      </c>
      <c r="F9" s="10">
        <f>'03_Customer_Growth'!F8*'02_Assumptions'!F20*'02_Assumptions'!F21*12*'02_Assumptions'!F22</f>
        <v>235704000</v>
      </c>
    </row>
    <row r="10" spans="1:8">
      <c r="A10" t="s">
        <v>67</v>
      </c>
      <c r="B10" s="10">
        <f>'03_Customer_Growth'!B10*'02_Assumptions'!B23*'02_Assumptions'!B24</f>
        <v>34981200</v>
      </c>
      <c r="C10" s="10">
        <f>'03_Customer_Growth'!C10*'02_Assumptions'!C23*'02_Assumptions'!C24</f>
        <v>38640000</v>
      </c>
      <c r="D10" s="10">
        <f>'03_Customer_Growth'!D10*'02_Assumptions'!D23*'02_Assumptions'!D24</f>
        <v>42640000</v>
      </c>
      <c r="E10" s="10">
        <f>'03_Customer_Growth'!E10*'02_Assumptions'!E23*'02_Assumptions'!E24</f>
        <v>87552000</v>
      </c>
      <c r="F10" s="10">
        <f>'03_Customer_Growth'!F10*'02_Assumptions'!F23*'02_Assumptions'!F24</f>
        <v>150401600</v>
      </c>
    </row>
    <row r="11" spans="1:8">
      <c r="A11" t="s">
        <v>68</v>
      </c>
      <c r="B11" s="10">
        <f>'02_Assumptions'!B25*12*'02_Assumptions'!B26</f>
        <v>210000000</v>
      </c>
      <c r="C11" s="10">
        <f>'02_Assumptions'!C25*12*'02_Assumptions'!C26</f>
        <v>240000000</v>
      </c>
      <c r="D11" s="10">
        <f>'02_Assumptions'!D25*12*'02_Assumptions'!D26</f>
        <v>300000000</v>
      </c>
      <c r="E11" s="10">
        <f>'02_Assumptions'!E25*12*'02_Assumptions'!E26</f>
        <v>360000000</v>
      </c>
      <c r="F11" s="10">
        <f>'02_Assumptions'!F25*12*'02_Assumptions'!F26</f>
        <v>450000000</v>
      </c>
    </row>
    <row r="12" spans="1:8">
      <c r="A12" t="s">
        <v>42</v>
      </c>
      <c r="B12" s="10">
        <f>'02_Assumptions'!B27</f>
        <v>672000000</v>
      </c>
      <c r="C12" s="10">
        <f>'02_Assumptions'!C27</f>
        <v>669000000</v>
      </c>
      <c r="D12" s="10">
        <f>'02_Assumptions'!D27</f>
        <v>747000000</v>
      </c>
      <c r="E12" s="10">
        <f>'02_Assumptions'!E27</f>
        <v>3660000000</v>
      </c>
      <c r="F12" s="10">
        <f>'02_Assumptions'!F27</f>
        <v>10554000000</v>
      </c>
    </row>
    <row r="13" spans="1:8">
      <c r="A13" s="13" t="s">
        <v>69</v>
      </c>
      <c r="B13" s="14">
        <f>SUM(B5:B12)</f>
        <v>3724565200</v>
      </c>
      <c r="C13" s="14">
        <f>SUM(C5:C12)</f>
        <v>4188344000</v>
      </c>
      <c r="D13" s="14">
        <f>SUM(D5:D12)</f>
        <v>10143720000</v>
      </c>
      <c r="E13" s="14">
        <f>SUM(E5:E12)</f>
        <v>18097344000</v>
      </c>
      <c r="F13" s="14">
        <f>SUM(F5:F12)</f>
        <v>32054985600</v>
      </c>
    </row>
    <row r="14" spans="1:8">
      <c r="A14" t="s">
        <v>70</v>
      </c>
      <c r="B14" s="10">
        <f>B6+B7</f>
        <v>1712160000</v>
      </c>
      <c r="C14" s="10">
        <f>C6+C7</f>
        <v>1920960000</v>
      </c>
      <c r="D14" s="10">
        <f>D6+D7</f>
        <v>3619200000</v>
      </c>
      <c r="E14" s="10">
        <f>E6+E7</f>
        <v>6347520000</v>
      </c>
      <c r="F14" s="10">
        <f>F6+F7</f>
        <v>9764880000</v>
      </c>
    </row>
    <row r="15" spans="1:8">
      <c r="A15" t="s">
        <v>71</v>
      </c>
      <c r="B15" s="10">
        <f>IF('03_Customer_Growth'!B8=0,0,B13/'03_Customer_Growth'!B8)</f>
        <v>15140508.943089431</v>
      </c>
      <c r="C15" s="10">
        <f>IF('03_Customer_Growth'!C8=0,0,C13/'03_Customer_Growth'!C8)</f>
        <v>15175159.420289855</v>
      </c>
      <c r="D15" s="10">
        <f>IF('03_Customer_Growth'!D8=0,0,D13/'03_Customer_Growth'!D8)</f>
        <v>19507153.846153848</v>
      </c>
      <c r="E15" s="10">
        <f>IF('03_Customer_Growth'!E8=0,0,E13/'03_Customer_Growth'!E8)</f>
        <v>19843578.947368421</v>
      </c>
      <c r="F15" s="10">
        <f>IF('03_Customer_Growth'!F8=0,0,F13/'03_Customer_Growth'!F8)</f>
        <v>22847459.444048468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>
      <selection sqref="A1:F1"/>
    </sheetView>
  </sheetViews>
  <sheetFormatPr defaultRowHeight="13.8"/>
  <cols>
    <col min="1" max="1" width="38" customWidth="1"/>
    <col min="2" max="6" width="16" customWidth="1"/>
  </cols>
  <sheetData>
    <row r="1" spans="1:8" ht="22.35" customHeight="1">
      <c r="A1" s="25" t="s">
        <v>72</v>
      </c>
      <c r="B1" s="26"/>
      <c r="C1" s="26"/>
      <c r="D1" s="26"/>
      <c r="E1" s="26"/>
      <c r="F1" s="26"/>
      <c r="G1" s="23"/>
      <c r="H1" s="23"/>
    </row>
    <row r="3" spans="1:8">
      <c r="A3" s="3" t="s">
        <v>20</v>
      </c>
      <c r="B3" s="3">
        <v>2025</v>
      </c>
      <c r="C3" s="3">
        <v>2026</v>
      </c>
      <c r="D3" s="3">
        <v>2027</v>
      </c>
      <c r="E3" s="3">
        <v>2028</v>
      </c>
      <c r="F3" s="3">
        <v>2029</v>
      </c>
    </row>
    <row r="5" spans="1:8">
      <c r="A5" t="s">
        <v>73</v>
      </c>
      <c r="B5" s="10">
        <f>'03_Customer_Growth'!B8*'02_Assumptions'!B30*12</f>
        <v>236160000</v>
      </c>
      <c r="C5" s="10">
        <f>'03_Customer_Growth'!C8*'02_Assumptions'!C30*12</f>
        <v>264960000</v>
      </c>
      <c r="D5" s="10">
        <f>'03_Customer_Growth'!D8*'02_Assumptions'!D30*12</f>
        <v>436800000</v>
      </c>
      <c r="E5" s="10">
        <f>'03_Customer_Growth'!E8*'02_Assumptions'!E30*12</f>
        <v>656640000</v>
      </c>
      <c r="F5" s="10">
        <f>'03_Customer_Growth'!F8*'02_Assumptions'!F30*12</f>
        <v>841800000</v>
      </c>
    </row>
    <row r="6" spans="1:8">
      <c r="A6" t="s">
        <v>74</v>
      </c>
      <c r="B6" s="10">
        <f>'02_Assumptions'!B14*'02_Assumptions'!B31</f>
        <v>150000000</v>
      </c>
      <c r="C6" s="10">
        <f>'02_Assumptions'!C14*'02_Assumptions'!C31</f>
        <v>180000000</v>
      </c>
      <c r="D6" s="10">
        <f>'02_Assumptions'!D14*'02_Assumptions'!D31</f>
        <v>715000000</v>
      </c>
      <c r="E6" s="10">
        <f>'02_Assumptions'!E14*'02_Assumptions'!E31</f>
        <v>900000000</v>
      </c>
      <c r="F6" s="10">
        <f>'02_Assumptions'!F14*'02_Assumptions'!F31</f>
        <v>1170000000</v>
      </c>
    </row>
    <row r="7" spans="1:8">
      <c r="A7" t="s">
        <v>75</v>
      </c>
      <c r="B7" s="10">
        <f>'03_Customer_Growth'!B8*'02_Assumptions'!B32*12</f>
        <v>221400000</v>
      </c>
      <c r="C7" s="10">
        <f>'03_Customer_Growth'!C8*'02_Assumptions'!C32*12</f>
        <v>248400000</v>
      </c>
      <c r="D7" s="10">
        <f>'03_Customer_Growth'!D8*'02_Assumptions'!D32*12</f>
        <v>436800000</v>
      </c>
      <c r="E7" s="10">
        <f>'03_Customer_Growth'!E8*'02_Assumptions'!E32*12</f>
        <v>656640000</v>
      </c>
      <c r="F7" s="10">
        <f>'03_Customer_Growth'!F8*'02_Assumptions'!F32*12</f>
        <v>925980000</v>
      </c>
    </row>
    <row r="8" spans="1:8">
      <c r="A8" t="s">
        <v>76</v>
      </c>
      <c r="B8" s="10">
        <f>'04_Revenue_Engine'!B9*'02_Assumptions'!B33</f>
        <v>7084800</v>
      </c>
      <c r="C8" s="10">
        <f>'04_Revenue_Engine'!C9*'02_Assumptions'!C33</f>
        <v>7948800</v>
      </c>
      <c r="D8" s="10">
        <f>'04_Revenue_Engine'!D9*'02_Assumptions'!D33</f>
        <v>13478400</v>
      </c>
      <c r="E8" s="10">
        <f>'04_Revenue_Engine'!E9*'02_Assumptions'!E33</f>
        <v>22763520.000000004</v>
      </c>
      <c r="F8" s="10">
        <f>'04_Revenue_Engine'!F9*'02_Assumptions'!F33</f>
        <v>35355600</v>
      </c>
    </row>
    <row r="9" spans="1:8">
      <c r="A9" t="s">
        <v>77</v>
      </c>
      <c r="B9" s="10">
        <f>'04_Revenue_Engine'!B13*'02_Assumptions'!B34</f>
        <v>297965216</v>
      </c>
      <c r="C9" s="10">
        <f>'04_Revenue_Engine'!C13*'02_Assumptions'!C34</f>
        <v>335067520</v>
      </c>
      <c r="D9" s="10">
        <f>'04_Revenue_Engine'!D13*'02_Assumptions'!D34</f>
        <v>710060400.00000012</v>
      </c>
      <c r="E9" s="10">
        <f>'04_Revenue_Engine'!E13*'02_Assumptions'!E34</f>
        <v>1085840640</v>
      </c>
      <c r="F9" s="10">
        <f>'04_Revenue_Engine'!F13*'02_Assumptions'!F34</f>
        <v>1602749280</v>
      </c>
    </row>
    <row r="10" spans="1:8">
      <c r="A10" s="13" t="s">
        <v>78</v>
      </c>
      <c r="B10" s="14">
        <f>SUM(B5:B9)</f>
        <v>912610016</v>
      </c>
      <c r="C10" s="14">
        <f>SUM(C5:C9)</f>
        <v>1036376320</v>
      </c>
      <c r="D10" s="14">
        <f>SUM(D5:D9)</f>
        <v>2312138800</v>
      </c>
      <c r="E10" s="14">
        <f>SUM(E5:E9)</f>
        <v>3321884160</v>
      </c>
      <c r="F10" s="14">
        <f>SUM(F5:F9)</f>
        <v>4575884880</v>
      </c>
    </row>
    <row r="11" spans="1:8">
      <c r="A11" s="13" t="s">
        <v>79</v>
      </c>
      <c r="B11" s="14">
        <f>'04_Revenue_Engine'!B13-B10</f>
        <v>2811955184</v>
      </c>
      <c r="C11" s="14">
        <f>'04_Revenue_Engine'!C13-C10</f>
        <v>3151967680</v>
      </c>
      <c r="D11" s="14">
        <f>'04_Revenue_Engine'!D13-D10</f>
        <v>7831581200</v>
      </c>
      <c r="E11" s="14">
        <f>'04_Revenue_Engine'!E13-E10</f>
        <v>14775459840</v>
      </c>
      <c r="F11" s="14">
        <f>'04_Revenue_Engine'!F13-F10</f>
        <v>27479100720</v>
      </c>
    </row>
    <row r="12" spans="1:8">
      <c r="A12" t="s">
        <v>80</v>
      </c>
      <c r="B12" s="12">
        <f>IF('04_Revenue_Engine'!B13=0,0,B11/'04_Revenue_Engine'!B13)</f>
        <v>0.75497542209759139</v>
      </c>
      <c r="C12" s="12">
        <f>IF('04_Revenue_Engine'!C13=0,0,C11/'04_Revenue_Engine'!C13)</f>
        <v>0.7525570201492523</v>
      </c>
      <c r="D12" s="12">
        <f>IF('04_Revenue_Engine'!D13=0,0,D11/'04_Revenue_Engine'!D13)</f>
        <v>0.77206204429933001</v>
      </c>
      <c r="E12" s="12">
        <f>IF('04_Revenue_Engine'!E13=0,0,E11/'04_Revenue_Engine'!E13)</f>
        <v>0.81644355326394857</v>
      </c>
      <c r="F12" s="12">
        <f>IF('04_Revenue_Engine'!F13=0,0,F11/'04_Revenue_Engine'!F13)</f>
        <v>0.85724888673791821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selection sqref="A1:F1"/>
    </sheetView>
  </sheetViews>
  <sheetFormatPr defaultRowHeight="13.8"/>
  <cols>
    <col min="1" max="1" width="38" customWidth="1"/>
    <col min="2" max="6" width="16" customWidth="1"/>
  </cols>
  <sheetData>
    <row r="1" spans="1:8" ht="22.35" customHeight="1">
      <c r="A1" s="25" t="s">
        <v>81</v>
      </c>
      <c r="B1" s="26"/>
      <c r="C1" s="26"/>
      <c r="D1" s="26"/>
      <c r="E1" s="26"/>
      <c r="F1" s="26"/>
      <c r="G1" s="23"/>
      <c r="H1" s="23"/>
    </row>
    <row r="3" spans="1:8">
      <c r="A3" s="3" t="s">
        <v>20</v>
      </c>
      <c r="B3" s="3">
        <v>2025</v>
      </c>
      <c r="C3" s="3">
        <v>2026</v>
      </c>
      <c r="D3" s="3">
        <v>2027</v>
      </c>
      <c r="E3" s="3">
        <v>2028</v>
      </c>
      <c r="F3" s="3">
        <v>2029</v>
      </c>
    </row>
    <row r="5" spans="1:8">
      <c r="A5" t="s">
        <v>82</v>
      </c>
      <c r="B5" s="4">
        <v>5</v>
      </c>
      <c r="C5" s="4">
        <v>6</v>
      </c>
      <c r="D5" s="4">
        <v>8</v>
      </c>
      <c r="E5" s="4">
        <v>11</v>
      </c>
      <c r="F5" s="4">
        <v>15</v>
      </c>
    </row>
    <row r="6" spans="1:8">
      <c r="A6" t="s">
        <v>83</v>
      </c>
      <c r="B6" s="4">
        <v>3</v>
      </c>
      <c r="C6" s="4">
        <v>4</v>
      </c>
      <c r="D6" s="4">
        <v>7</v>
      </c>
      <c r="E6" s="4">
        <v>10</v>
      </c>
      <c r="F6" s="4">
        <v>14</v>
      </c>
    </row>
    <row r="7" spans="1:8">
      <c r="A7" t="s">
        <v>84</v>
      </c>
      <c r="B7" s="4">
        <v>2</v>
      </c>
      <c r="C7" s="4">
        <v>3</v>
      </c>
      <c r="D7" s="4">
        <v>4</v>
      </c>
      <c r="E7" s="4">
        <v>5</v>
      </c>
      <c r="F7" s="4">
        <v>7</v>
      </c>
    </row>
    <row r="8" spans="1:8">
      <c r="A8" t="s">
        <v>85</v>
      </c>
      <c r="B8" s="4">
        <v>4</v>
      </c>
      <c r="C8" s="4">
        <v>5</v>
      </c>
      <c r="D8" s="4">
        <v>8</v>
      </c>
      <c r="E8" s="4">
        <v>12</v>
      </c>
      <c r="F8" s="4">
        <v>18</v>
      </c>
    </row>
    <row r="9" spans="1:8">
      <c r="A9" t="s">
        <v>86</v>
      </c>
      <c r="B9" s="4">
        <v>2</v>
      </c>
      <c r="C9" s="4">
        <v>3</v>
      </c>
      <c r="D9" s="4">
        <v>4</v>
      </c>
      <c r="E9" s="4">
        <v>5</v>
      </c>
      <c r="F9" s="4">
        <v>6</v>
      </c>
    </row>
    <row r="10" spans="1:8">
      <c r="A10" t="s">
        <v>87</v>
      </c>
      <c r="B10" s="4">
        <v>3</v>
      </c>
      <c r="C10" s="4">
        <v>3</v>
      </c>
      <c r="D10" s="4">
        <v>4</v>
      </c>
      <c r="E10" s="4">
        <v>4</v>
      </c>
      <c r="F10" s="4">
        <v>5</v>
      </c>
    </row>
    <row r="11" spans="1:8">
      <c r="A11" t="s">
        <v>88</v>
      </c>
      <c r="B11" s="15">
        <f>SUM(B5:B10)</f>
        <v>19</v>
      </c>
      <c r="C11" s="15">
        <f>SUM(C5:C10)</f>
        <v>24</v>
      </c>
      <c r="D11" s="15">
        <f>SUM(D5:D10)</f>
        <v>35</v>
      </c>
      <c r="E11" s="15">
        <f>SUM(E5:E10)</f>
        <v>47</v>
      </c>
      <c r="F11" s="15">
        <f>SUM(F5:F10)</f>
        <v>65</v>
      </c>
    </row>
    <row r="12" spans="1:8">
      <c r="A12" t="s">
        <v>89</v>
      </c>
      <c r="B12" s="4">
        <v>10500000</v>
      </c>
      <c r="C12" s="4">
        <v>11000000</v>
      </c>
      <c r="D12" s="4">
        <v>11500000</v>
      </c>
      <c r="E12" s="4">
        <v>12000000</v>
      </c>
      <c r="F12" s="4">
        <v>12500000</v>
      </c>
    </row>
    <row r="13" spans="1:8">
      <c r="A13" t="s">
        <v>90</v>
      </c>
      <c r="B13" s="15">
        <f>B11*B12*12</f>
        <v>2394000000</v>
      </c>
      <c r="C13" s="15">
        <f>C11*C12*12</f>
        <v>3168000000</v>
      </c>
      <c r="D13" s="15">
        <f>D11*D12*12</f>
        <v>4830000000</v>
      </c>
      <c r="E13" s="15">
        <f>E11*E12*12</f>
        <v>6768000000</v>
      </c>
      <c r="F13" s="15">
        <f>F11*F12*12</f>
        <v>9750000000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>
      <selection sqref="A1:F1"/>
    </sheetView>
  </sheetViews>
  <sheetFormatPr defaultRowHeight="13.8"/>
  <cols>
    <col min="1" max="1" width="38" customWidth="1"/>
    <col min="2" max="6" width="16" customWidth="1"/>
  </cols>
  <sheetData>
    <row r="1" spans="1:8" ht="22.35" customHeight="1">
      <c r="A1" s="25" t="s">
        <v>91</v>
      </c>
      <c r="B1" s="26"/>
      <c r="C1" s="26"/>
      <c r="D1" s="26"/>
      <c r="E1" s="26"/>
      <c r="F1" s="26"/>
      <c r="G1" s="23"/>
      <c r="H1" s="23"/>
    </row>
    <row r="3" spans="1:8">
      <c r="A3" s="3" t="s">
        <v>20</v>
      </c>
      <c r="B3" s="3">
        <v>2025</v>
      </c>
      <c r="C3" s="3">
        <v>2026</v>
      </c>
      <c r="D3" s="3">
        <v>2027</v>
      </c>
      <c r="E3" s="3">
        <v>2028</v>
      </c>
      <c r="F3" s="3">
        <v>2029</v>
      </c>
    </row>
    <row r="5" spans="1:8">
      <c r="A5" t="s">
        <v>92</v>
      </c>
      <c r="B5" s="10">
        <f>'06_HR_Planning'!B13</f>
        <v>2394000000</v>
      </c>
      <c r="C5" s="10">
        <f>'06_HR_Planning'!C13</f>
        <v>3168000000</v>
      </c>
      <c r="D5" s="10">
        <f>'06_HR_Planning'!D13</f>
        <v>4830000000</v>
      </c>
      <c r="E5" s="10">
        <f>'06_HR_Planning'!E13</f>
        <v>6768000000</v>
      </c>
      <c r="F5" s="10">
        <f>'06_HR_Planning'!F13</f>
        <v>9750000000</v>
      </c>
    </row>
    <row r="6" spans="1:8">
      <c r="A6" t="s">
        <v>93</v>
      </c>
      <c r="B6" s="4">
        <v>400000000</v>
      </c>
      <c r="C6" s="4">
        <v>600000000</v>
      </c>
      <c r="D6" s="4">
        <v>900000000</v>
      </c>
      <c r="E6" s="4">
        <v>1500000000</v>
      </c>
      <c r="F6" s="4">
        <v>2200000000</v>
      </c>
    </row>
    <row r="7" spans="1:8">
      <c r="A7" t="s">
        <v>94</v>
      </c>
      <c r="B7" s="4">
        <v>180000000</v>
      </c>
      <c r="C7" s="4">
        <v>220000000</v>
      </c>
      <c r="D7" s="4">
        <v>300000000</v>
      </c>
      <c r="E7" s="4">
        <v>400000000</v>
      </c>
      <c r="F7" s="4">
        <v>550000000</v>
      </c>
    </row>
    <row r="8" spans="1:8">
      <c r="A8" t="s">
        <v>95</v>
      </c>
      <c r="B8" s="4">
        <v>120000000</v>
      </c>
      <c r="C8" s="4">
        <v>150000000</v>
      </c>
      <c r="D8" s="4">
        <v>220000000</v>
      </c>
      <c r="E8" s="4">
        <v>350000000</v>
      </c>
      <c r="F8" s="4">
        <v>500000000</v>
      </c>
    </row>
    <row r="9" spans="1:8">
      <c r="A9" t="s">
        <v>96</v>
      </c>
      <c r="B9" s="4">
        <v>80000000</v>
      </c>
      <c r="C9" s="4">
        <v>100000000</v>
      </c>
      <c r="D9" s="4">
        <v>150000000</v>
      </c>
      <c r="E9" s="4">
        <v>200000000</v>
      </c>
      <c r="F9" s="4">
        <v>300000000</v>
      </c>
    </row>
    <row r="10" spans="1:8">
      <c r="A10" t="s">
        <v>97</v>
      </c>
      <c r="B10" s="4">
        <v>150000000</v>
      </c>
      <c r="C10" s="4">
        <v>180000000</v>
      </c>
      <c r="D10" s="4">
        <v>300000000</v>
      </c>
      <c r="E10" s="4">
        <v>500000000</v>
      </c>
      <c r="F10" s="4">
        <v>800000000</v>
      </c>
    </row>
    <row r="11" spans="1:8">
      <c r="A11" t="s">
        <v>98</v>
      </c>
      <c r="B11" s="4">
        <v>70000000</v>
      </c>
      <c r="C11" s="4">
        <v>90000000</v>
      </c>
      <c r="D11" s="4">
        <v>150000000</v>
      </c>
      <c r="E11" s="4">
        <v>250000000</v>
      </c>
      <c r="F11" s="4">
        <v>350000000</v>
      </c>
    </row>
    <row r="12" spans="1:8">
      <c r="A12" t="s">
        <v>99</v>
      </c>
      <c r="B12" s="4">
        <v>100000000</v>
      </c>
      <c r="C12" s="4">
        <v>130000000</v>
      </c>
      <c r="D12" s="4">
        <v>200000000</v>
      </c>
      <c r="E12" s="4">
        <v>300000000</v>
      </c>
      <c r="F12" s="4">
        <v>500000000</v>
      </c>
    </row>
    <row r="13" spans="1:8">
      <c r="A13" s="13" t="s">
        <v>100</v>
      </c>
      <c r="B13" s="13">
        <f>SUM(B5:B12)</f>
        <v>3494000000</v>
      </c>
      <c r="C13" s="13">
        <f>SUM(C5:C12)</f>
        <v>4638000000</v>
      </c>
      <c r="D13" s="13">
        <f>SUM(D5:D12)</f>
        <v>7050000000</v>
      </c>
      <c r="E13" s="13">
        <f>SUM(E5:E12)</f>
        <v>10268000000</v>
      </c>
      <c r="F13" s="13">
        <f>SUM(F5:F12)</f>
        <v>14950000000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>
      <selection sqref="A1:F1"/>
    </sheetView>
  </sheetViews>
  <sheetFormatPr defaultRowHeight="13.8"/>
  <cols>
    <col min="1" max="1" width="38" customWidth="1"/>
    <col min="2" max="6" width="16" customWidth="1"/>
  </cols>
  <sheetData>
    <row r="1" spans="1:8" ht="22.35" customHeight="1">
      <c r="A1" s="25" t="s">
        <v>101</v>
      </c>
      <c r="B1" s="26"/>
      <c r="C1" s="26"/>
      <c r="D1" s="26"/>
      <c r="E1" s="26"/>
      <c r="F1" s="26"/>
      <c r="G1" s="23"/>
      <c r="H1" s="23"/>
    </row>
    <row r="3" spans="1:8">
      <c r="A3" s="3" t="s">
        <v>20</v>
      </c>
      <c r="B3" s="3">
        <v>2025</v>
      </c>
      <c r="C3" s="3">
        <v>2026</v>
      </c>
      <c r="D3" s="3">
        <v>2027</v>
      </c>
      <c r="E3" s="3">
        <v>2028</v>
      </c>
      <c r="F3" s="3">
        <v>2029</v>
      </c>
    </row>
    <row r="5" spans="1:8">
      <c r="A5" t="s">
        <v>69</v>
      </c>
      <c r="B5" s="10">
        <f>'04_Revenue_Engine'!B13</f>
        <v>3724565200</v>
      </c>
      <c r="C5" s="10">
        <f>'04_Revenue_Engine'!C13</f>
        <v>4188344000</v>
      </c>
      <c r="D5" s="10">
        <f>'04_Revenue_Engine'!D13</f>
        <v>10143720000</v>
      </c>
      <c r="E5" s="10">
        <f>'04_Revenue_Engine'!E13</f>
        <v>18097344000</v>
      </c>
      <c r="F5" s="10">
        <f>'04_Revenue_Engine'!F13</f>
        <v>32054985600</v>
      </c>
    </row>
    <row r="6" spans="1:8">
      <c r="A6" t="s">
        <v>102</v>
      </c>
      <c r="B6" s="10">
        <f>'05_COGS'!B10</f>
        <v>912610016</v>
      </c>
      <c r="C6" s="10">
        <f>'05_COGS'!C10</f>
        <v>1036376320</v>
      </c>
      <c r="D6" s="10">
        <f>'05_COGS'!D10</f>
        <v>2312138800</v>
      </c>
      <c r="E6" s="10">
        <f>'05_COGS'!E10</f>
        <v>3321884160</v>
      </c>
      <c r="F6" s="10">
        <f>'05_COGS'!F10</f>
        <v>4575884880</v>
      </c>
    </row>
    <row r="7" spans="1:8">
      <c r="A7" t="s">
        <v>79</v>
      </c>
      <c r="B7" s="10">
        <f>B5-B6</f>
        <v>2811955184</v>
      </c>
      <c r="C7" s="10">
        <f>C5-C6</f>
        <v>3151967680</v>
      </c>
      <c r="D7" s="10">
        <f>D5-D6</f>
        <v>7831581200</v>
      </c>
      <c r="E7" s="10">
        <f>E5-E6</f>
        <v>14775459840</v>
      </c>
      <c r="F7" s="10">
        <f>F5-F6</f>
        <v>27479100720</v>
      </c>
    </row>
    <row r="8" spans="1:8">
      <c r="A8" t="s">
        <v>80</v>
      </c>
      <c r="B8" s="12">
        <f>IF(B5=0,0,B7/B5)</f>
        <v>0.75497542209759139</v>
      </c>
      <c r="C8" s="12">
        <f>IF(C5=0,0,C7/C5)</f>
        <v>0.7525570201492523</v>
      </c>
      <c r="D8" s="12">
        <f>IF(D5=0,0,D7/D5)</f>
        <v>0.77206204429933001</v>
      </c>
      <c r="E8" s="12">
        <f>IF(E5=0,0,E7/E5)</f>
        <v>0.81644355326394857</v>
      </c>
      <c r="F8" s="12">
        <f>IF(F5=0,0,F7/F5)</f>
        <v>0.85724888673791821</v>
      </c>
    </row>
    <row r="9" spans="1:8">
      <c r="A9" t="s">
        <v>103</v>
      </c>
      <c r="B9" s="10">
        <f>'07_OPEX'!B13</f>
        <v>3494000000</v>
      </c>
      <c r="C9" s="10">
        <f>'07_OPEX'!C13</f>
        <v>4638000000</v>
      </c>
      <c r="D9" s="10">
        <f>'07_OPEX'!D13</f>
        <v>7050000000</v>
      </c>
      <c r="E9" s="10">
        <f>'07_OPEX'!E13</f>
        <v>10268000000</v>
      </c>
      <c r="F9" s="10">
        <f>'07_OPEX'!F13</f>
        <v>14950000000</v>
      </c>
    </row>
    <row r="10" spans="1:8">
      <c r="A10" s="13" t="s">
        <v>104</v>
      </c>
      <c r="B10" s="14">
        <f>B7-B9</f>
        <v>-682044816</v>
      </c>
      <c r="C10" s="14">
        <f>C7-C9</f>
        <v>-1486032320</v>
      </c>
      <c r="D10" s="14">
        <f>D7-D9</f>
        <v>781581200</v>
      </c>
      <c r="E10" s="14">
        <f>E7-E9</f>
        <v>4507459840</v>
      </c>
      <c r="F10" s="14">
        <f>F7-F9</f>
        <v>12529100720</v>
      </c>
    </row>
    <row r="11" spans="1:8">
      <c r="A11" t="s">
        <v>105</v>
      </c>
      <c r="B11" s="12">
        <f>IF(B5=0,0,B10/B5)</f>
        <v>-0.18312065419072271</v>
      </c>
      <c r="C11" s="12">
        <f>IF(C5=0,0,C10/C5)</f>
        <v>-0.3548018787377541</v>
      </c>
      <c r="D11" s="12">
        <f>IF(D5=0,0,D10/D5)</f>
        <v>7.7050746668874931E-2</v>
      </c>
      <c r="E11" s="12">
        <f>IF(E5=0,0,E10/E5)</f>
        <v>0.24906747863111847</v>
      </c>
      <c r="F11" s="12">
        <f>IF(F5=0,0,F10/F5)</f>
        <v>0.39086277798858221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>
      <selection activeCell="C18" sqref="C18"/>
    </sheetView>
  </sheetViews>
  <sheetFormatPr defaultRowHeight="13.8"/>
  <cols>
    <col min="1" max="1" width="38" customWidth="1"/>
    <col min="2" max="6" width="16" customWidth="1"/>
  </cols>
  <sheetData>
    <row r="1" spans="1:8" ht="22.35" customHeight="1">
      <c r="A1" s="25" t="s">
        <v>106</v>
      </c>
      <c r="B1" s="26"/>
      <c r="C1" s="26"/>
      <c r="D1" s="26"/>
      <c r="E1" s="26"/>
      <c r="F1" s="26"/>
      <c r="G1" s="23"/>
      <c r="H1" s="23"/>
    </row>
    <row r="3" spans="1:8">
      <c r="A3" s="3" t="s">
        <v>20</v>
      </c>
      <c r="B3" s="3">
        <v>2025</v>
      </c>
      <c r="C3" s="3">
        <v>2026</v>
      </c>
      <c r="D3" s="3">
        <v>2027</v>
      </c>
      <c r="E3" s="3">
        <v>2028</v>
      </c>
      <c r="F3" s="3">
        <v>2029</v>
      </c>
    </row>
    <row r="5" spans="1:8">
      <c r="A5" t="s">
        <v>107</v>
      </c>
      <c r="B5" s="4">
        <v>0</v>
      </c>
      <c r="C5">
        <f>B8</f>
        <v>-682044816</v>
      </c>
      <c r="D5">
        <f>C8</f>
        <v>6081922864</v>
      </c>
      <c r="E5">
        <f>D8</f>
        <v>6863504064</v>
      </c>
      <c r="F5">
        <f>E8</f>
        <v>11370963904</v>
      </c>
    </row>
    <row r="6" spans="1:8">
      <c r="A6" t="s">
        <v>108</v>
      </c>
      <c r="B6" s="10">
        <f>IF(B$3=2026,'02_Assumptions'!B37,0)</f>
        <v>0</v>
      </c>
      <c r="C6" s="10">
        <f>IF(C$3=2026,'02_Assumptions'!C37,0)</f>
        <v>8250000000</v>
      </c>
      <c r="D6" s="10">
        <f>IF(D$3=2026,'02_Assumptions'!D37,0)</f>
        <v>0</v>
      </c>
      <c r="E6" s="10">
        <f>IF(E$3=2026,'02_Assumptions'!E37,0)</f>
        <v>0</v>
      </c>
      <c r="F6" s="10">
        <f>IF(F$3=2026,'02_Assumptions'!F37,0)</f>
        <v>0</v>
      </c>
    </row>
    <row r="7" spans="1:8">
      <c r="A7" t="s">
        <v>104</v>
      </c>
      <c r="B7" s="10">
        <f>'08_EBITDA'!B10</f>
        <v>-682044816</v>
      </c>
      <c r="C7" s="10">
        <f>'08_EBITDA'!C10</f>
        <v>-1486032320</v>
      </c>
      <c r="D7" s="10">
        <f>'08_EBITDA'!D10</f>
        <v>781581200</v>
      </c>
      <c r="E7" s="10">
        <f>'08_EBITDA'!E10</f>
        <v>4507459840</v>
      </c>
      <c r="F7" s="10">
        <f>'08_EBITDA'!F10</f>
        <v>12529100720</v>
      </c>
    </row>
    <row r="8" spans="1:8">
      <c r="A8" s="13" t="s">
        <v>109</v>
      </c>
      <c r="B8" s="14">
        <f>B5+B6+B7</f>
        <v>-682044816</v>
      </c>
      <c r="C8" s="14">
        <f>C5+C6+C7</f>
        <v>6081922864</v>
      </c>
      <c r="D8" s="14">
        <f>D5+D6+D7</f>
        <v>6863504064</v>
      </c>
      <c r="E8" s="14">
        <f>E5+E6+E7</f>
        <v>11370963904</v>
      </c>
      <c r="F8" s="14">
        <f>F5+F6+F7</f>
        <v>23900064624</v>
      </c>
    </row>
    <row r="9" spans="1:8">
      <c r="A9" t="s">
        <v>110</v>
      </c>
      <c r="B9" s="10">
        <f>ABS(MIN(B7/12,0))</f>
        <v>56837068</v>
      </c>
      <c r="C9" s="10">
        <f>ABS(MIN(C7/12,0))</f>
        <v>123836026.66666667</v>
      </c>
      <c r="D9" s="10">
        <f>ABS(MIN(D7/12,0))</f>
        <v>0</v>
      </c>
      <c r="E9" s="10">
        <f>ABS(MIN(E7/12,0))</f>
        <v>0</v>
      </c>
      <c r="F9" s="10">
        <f>ABS(MIN(F7/12,0))</f>
        <v>0</v>
      </c>
    </row>
    <row r="10" spans="1:8">
      <c r="A10" t="s">
        <v>111</v>
      </c>
      <c r="B10" s="10">
        <f>IF(B9=0,"Profitable",B8/B9)</f>
        <v>-12</v>
      </c>
      <c r="C10" s="10">
        <f>IF(C9=0,"Profitable",C8/C9)</f>
        <v>49.112709990049204</v>
      </c>
      <c r="D10" s="10" t="str">
        <f>IF(D9=0,"Profitable",D8/D9)</f>
        <v>Profitable</v>
      </c>
      <c r="E10" s="10" t="str">
        <f>IF(E9=0,"Profitable",E8/E9)</f>
        <v>Profitable</v>
      </c>
      <c r="F10" s="10" t="str">
        <f>IF(F9=0,"Profitable",F8/F9)</f>
        <v>Profitable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"/>
  <sheetViews>
    <sheetView workbookViewId="0">
      <selection activeCell="A31" sqref="A31"/>
    </sheetView>
  </sheetViews>
  <sheetFormatPr defaultRowHeight="13.8"/>
  <cols>
    <col min="1" max="1" width="38" customWidth="1"/>
    <col min="2" max="6" width="16" customWidth="1"/>
  </cols>
  <sheetData>
    <row r="1" spans="1:8" ht="22.35" customHeight="1">
      <c r="A1" s="25" t="s">
        <v>112</v>
      </c>
      <c r="B1" s="26"/>
      <c r="C1" s="26"/>
      <c r="D1" s="26"/>
      <c r="E1" s="26"/>
      <c r="F1" s="26"/>
      <c r="G1" s="23"/>
      <c r="H1" s="23"/>
    </row>
    <row r="3" spans="1:8">
      <c r="A3" s="3" t="s">
        <v>20</v>
      </c>
      <c r="B3" s="3">
        <v>2025</v>
      </c>
      <c r="C3" s="3">
        <v>2026</v>
      </c>
      <c r="D3" s="3">
        <v>2027</v>
      </c>
      <c r="E3" s="3">
        <v>2028</v>
      </c>
      <c r="F3" s="3">
        <v>2029</v>
      </c>
    </row>
    <row r="5" spans="1:8">
      <c r="A5" t="s">
        <v>113</v>
      </c>
      <c r="B5" s="10">
        <f>'04_Revenue_Engine'!B14/12</f>
        <v>142680000</v>
      </c>
      <c r="C5" s="10">
        <f>'04_Revenue_Engine'!C14/12</f>
        <v>160080000</v>
      </c>
      <c r="D5" s="10">
        <f>'04_Revenue_Engine'!D14/12</f>
        <v>301600000</v>
      </c>
      <c r="E5" s="10">
        <f>'04_Revenue_Engine'!E14/12</f>
        <v>528960000</v>
      </c>
      <c r="F5" s="10">
        <f>'04_Revenue_Engine'!F14/12</f>
        <v>813740000</v>
      </c>
    </row>
    <row r="6" spans="1:8">
      <c r="A6" t="s">
        <v>114</v>
      </c>
      <c r="B6" s="10">
        <f>'04_Revenue_Engine'!B14</f>
        <v>1712160000</v>
      </c>
      <c r="C6" s="10">
        <f>'04_Revenue_Engine'!C14</f>
        <v>1920960000</v>
      </c>
      <c r="D6" s="10">
        <f>'04_Revenue_Engine'!D14</f>
        <v>3619200000</v>
      </c>
      <c r="E6" s="10">
        <f>'04_Revenue_Engine'!E14</f>
        <v>6347520000</v>
      </c>
      <c r="F6" s="10">
        <f>'04_Revenue_Engine'!F14</f>
        <v>9764880000</v>
      </c>
    </row>
    <row r="7" spans="1:8">
      <c r="A7" t="s">
        <v>71</v>
      </c>
      <c r="B7" s="10">
        <f>'04_Revenue_Engine'!B15</f>
        <v>15140508.943089431</v>
      </c>
      <c r="C7" s="10">
        <f>'04_Revenue_Engine'!C15</f>
        <v>15175159.420289855</v>
      </c>
      <c r="D7" s="10">
        <f>'04_Revenue_Engine'!D15</f>
        <v>19507153.846153848</v>
      </c>
      <c r="E7" s="10">
        <f>'04_Revenue_Engine'!E15</f>
        <v>19843578.947368421</v>
      </c>
      <c r="F7" s="10">
        <f>'04_Revenue_Engine'!F15</f>
        <v>22847459.444048468</v>
      </c>
    </row>
    <row r="8" spans="1:8">
      <c r="A8" t="s">
        <v>80</v>
      </c>
      <c r="B8" s="12">
        <f>'05_COGS'!B12</f>
        <v>0.75497542209759139</v>
      </c>
      <c r="C8" s="12">
        <f>'05_COGS'!C12</f>
        <v>0.7525570201492523</v>
      </c>
      <c r="D8" s="12">
        <f>'05_COGS'!D12</f>
        <v>0.77206204429933001</v>
      </c>
      <c r="E8" s="12">
        <f>'05_COGS'!E12</f>
        <v>0.81644355326394857</v>
      </c>
      <c r="F8" s="12">
        <f>'05_COGS'!F12</f>
        <v>0.85724888673791821</v>
      </c>
    </row>
    <row r="9" spans="1:8">
      <c r="A9" t="s">
        <v>115</v>
      </c>
      <c r="B9" s="12">
        <f>'02_Assumptions'!B8</f>
        <v>0.02</v>
      </c>
      <c r="C9" s="12">
        <f>'02_Assumptions'!C8</f>
        <v>0.02</v>
      </c>
      <c r="D9" s="12">
        <f>'02_Assumptions'!D8</f>
        <v>0.02</v>
      </c>
      <c r="E9" s="12">
        <f>'02_Assumptions'!E8</f>
        <v>1.4999999999999999E-2</v>
      </c>
      <c r="F9" s="12">
        <f>'02_Assumptions'!F8</f>
        <v>0.01</v>
      </c>
    </row>
    <row r="10" spans="1:8">
      <c r="A10" t="s">
        <v>116</v>
      </c>
      <c r="B10" s="12">
        <f>1-(1-B9)^12</f>
        <v>0.21528327626520027</v>
      </c>
      <c r="C10" s="12">
        <f>1-(1-C9)^12</f>
        <v>0.21528327626520027</v>
      </c>
      <c r="D10" s="12">
        <f>1-(1-D9)^12</f>
        <v>0.21528327626520027</v>
      </c>
      <c r="E10" s="12">
        <f>1-(1-E9)^12</f>
        <v>0.16586803165912289</v>
      </c>
      <c r="F10" s="12">
        <f>1-(1-F9)^12</f>
        <v>0.11361512828387088</v>
      </c>
    </row>
    <row r="11" spans="1:8">
      <c r="A11" t="s">
        <v>117</v>
      </c>
      <c r="B11" s="10">
        <f>IF('02_Assumptions'!B7=0,0,('07_OPEX'!B6+'07_OPEX'!B5*0.35)/'02_Assumptions'!B7)</f>
        <v>35368571.428571425</v>
      </c>
      <c r="C11" s="10">
        <f>IF('02_Assumptions'!C7=0,0,('07_OPEX'!C6+'07_OPEX'!C5*0.35)/'02_Assumptions'!C7)</f>
        <v>48822857.142857142</v>
      </c>
      <c r="D11" s="10">
        <f>IF('02_Assumptions'!D7=0,0,('07_OPEX'!D6+'07_OPEX'!D5*0.35)/'02_Assumptions'!D7)</f>
        <v>10362000</v>
      </c>
      <c r="E11" s="10">
        <f>IF('02_Assumptions'!E7=0,0,('07_OPEX'!E6+'07_OPEX'!E5*0.35)/'02_Assumptions'!E7)</f>
        <v>9672000</v>
      </c>
      <c r="F11" s="10">
        <f>IF('02_Assumptions'!F7=0,0,('07_OPEX'!F6+'07_OPEX'!F5*0.35)/'02_Assumptions'!F7)</f>
        <v>11225000</v>
      </c>
    </row>
    <row r="12" spans="1:8">
      <c r="A12" t="s">
        <v>118</v>
      </c>
      <c r="B12" s="10">
        <f>IF(B9=0,0,(B5*B8)/B9)</f>
        <v>5385994661.2442169</v>
      </c>
      <c r="C12" s="10">
        <f>IF(C9=0,0,(C5*C8)/C9)</f>
        <v>6023466389.2746153</v>
      </c>
      <c r="D12" s="10">
        <f>IF(D9=0,0,(D5*D8)/D9)</f>
        <v>11642695628.033895</v>
      </c>
      <c r="E12" s="10">
        <f>IF(E9=0,0,(E5*E8)/E9)</f>
        <v>28791065462.299885</v>
      </c>
      <c r="F12" s="10">
        <f>IF(F9=0,0,(F5*F8)/F9)</f>
        <v>69757770909.411362</v>
      </c>
    </row>
    <row r="13" spans="1:8">
      <c r="A13" t="s">
        <v>119</v>
      </c>
      <c r="B13" s="16">
        <f>IF(B11=0,0,B12/B11)</f>
        <v>152.28193969104743</v>
      </c>
      <c r="C13" s="16">
        <f>IF(C11=0,0,C12/C11)</f>
        <v>123.37390193387847</v>
      </c>
      <c r="D13" s="16">
        <f>IF(D11=0,0,D12/D11)</f>
        <v>1123.5954089976738</v>
      </c>
      <c r="E13" s="16">
        <f>IF(E11=0,0,E12/E11)</f>
        <v>2976.7437409325771</v>
      </c>
      <c r="F13" s="16">
        <f>IF(F11=0,0,F12/F11)</f>
        <v>6214.5007491680499</v>
      </c>
    </row>
    <row r="14" spans="1:8">
      <c r="A14" t="s">
        <v>120</v>
      </c>
      <c r="B14" s="17">
        <f>IF((B5*B8)=0,0,B11/(B5*B8))</f>
        <v>0.32833834466149414</v>
      </c>
      <c r="C14" s="17">
        <f>IF((C5*C8)=0,0,C11/(C5*C8))</f>
        <v>0.40527209739055842</v>
      </c>
      <c r="D14" s="17">
        <f>IF((D5*D8)=0,0,D11/(D5*D8))</f>
        <v>4.4500003826647462E-2</v>
      </c>
      <c r="E14" s="17">
        <f>IF((E5*E8)=0,0,E11/(E5*E8))</f>
        <v>2.2395836682193148E-2</v>
      </c>
      <c r="F14" s="17">
        <f>IF((F5*F8)=0,0,F11/(F5*F8))</f>
        <v>1.6091397207311824E-2</v>
      </c>
    </row>
    <row r="15" spans="1:8">
      <c r="A15" t="s">
        <v>121</v>
      </c>
      <c r="B15" s="12">
        <f>'08_EBITDA'!B11</f>
        <v>-0.18312065419072271</v>
      </c>
      <c r="C15" s="12">
        <f>(('04_Revenue_Engine'!C13/'04_Revenue_Engine'!B13)-1)+'08_EBITDA'!C11</f>
        <v>-0.23028296844991708</v>
      </c>
      <c r="D15" s="12">
        <f>(('04_Revenue_Engine'!D13/'04_Revenue_Engine'!C13)-1)+'08_EBITDA'!D11</f>
        <v>1.498943504283818</v>
      </c>
      <c r="E15" s="12">
        <f>(('04_Revenue_Engine'!E13/'04_Revenue_Engine'!D13)-1)+'08_EBITDA'!E11</f>
        <v>1.03316088814952</v>
      </c>
      <c r="F15" s="12">
        <f>(('04_Revenue_Engine'!F13/'04_Revenue_Engine'!E13)-1)+'08_EBITDA'!F11</f>
        <v>1.1621163718861178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>
      <selection activeCell="B14" sqref="B14"/>
    </sheetView>
  </sheetViews>
  <sheetFormatPr defaultRowHeight="13.8"/>
  <cols>
    <col min="1" max="1" width="38" customWidth="1"/>
    <col min="2" max="6" width="16" customWidth="1"/>
  </cols>
  <sheetData>
    <row r="1" spans="1:8" ht="22.35" customHeight="1">
      <c r="A1" s="25" t="s">
        <v>122</v>
      </c>
      <c r="B1" s="26"/>
      <c r="C1" s="26"/>
      <c r="D1" s="26"/>
      <c r="E1" s="26"/>
      <c r="F1" s="26"/>
      <c r="G1" s="23"/>
      <c r="H1" s="23"/>
    </row>
    <row r="3" spans="1:8">
      <c r="A3" s="3" t="s">
        <v>20</v>
      </c>
      <c r="B3" s="3">
        <v>2025</v>
      </c>
      <c r="C3" s="3">
        <v>2026</v>
      </c>
      <c r="D3" s="3">
        <v>2027</v>
      </c>
      <c r="E3" s="3">
        <v>2028</v>
      </c>
      <c r="F3" s="3">
        <v>2029</v>
      </c>
    </row>
    <row r="5" spans="1:8">
      <c r="A5" t="s">
        <v>123</v>
      </c>
      <c r="B5" s="10">
        <f>'04_Revenue_Engine'!B13</f>
        <v>3724565200</v>
      </c>
      <c r="C5" s="10">
        <f>'04_Revenue_Engine'!C13</f>
        <v>4188344000</v>
      </c>
      <c r="D5" s="10">
        <f>'04_Revenue_Engine'!D13</f>
        <v>10143720000</v>
      </c>
      <c r="E5" s="10">
        <f>'04_Revenue_Engine'!E13</f>
        <v>18097344000</v>
      </c>
      <c r="F5" s="10">
        <f>'04_Revenue_Engine'!F13</f>
        <v>32054985600</v>
      </c>
    </row>
    <row r="6" spans="1:8">
      <c r="A6" t="s">
        <v>114</v>
      </c>
      <c r="B6" s="10">
        <f>'10_SaaS_Metrics'!B6</f>
        <v>1712160000</v>
      </c>
      <c r="C6" s="10">
        <f>'10_SaaS_Metrics'!C6</f>
        <v>1920960000</v>
      </c>
      <c r="D6" s="10">
        <f>'10_SaaS_Metrics'!D6</f>
        <v>3619200000</v>
      </c>
      <c r="E6" s="10">
        <f>'10_SaaS_Metrics'!E6</f>
        <v>6347520000</v>
      </c>
      <c r="F6" s="10">
        <f>'10_SaaS_Metrics'!F6</f>
        <v>9764880000</v>
      </c>
    </row>
    <row r="7" spans="1:8">
      <c r="A7" t="s">
        <v>124</v>
      </c>
      <c r="B7" s="16">
        <f>'02_Assumptions'!B39</f>
        <v>3</v>
      </c>
      <c r="C7" s="16">
        <f>'02_Assumptions'!C39</f>
        <v>3</v>
      </c>
      <c r="D7" s="16">
        <f>'02_Assumptions'!D39</f>
        <v>3</v>
      </c>
      <c r="E7" s="16">
        <f>'02_Assumptions'!E39</f>
        <v>3</v>
      </c>
      <c r="F7" s="16">
        <f>'02_Assumptions'!F39</f>
        <v>3</v>
      </c>
    </row>
    <row r="8" spans="1:8">
      <c r="A8" t="s">
        <v>125</v>
      </c>
      <c r="B8" s="16">
        <f>'02_Assumptions'!B40</f>
        <v>5</v>
      </c>
      <c r="C8" s="16">
        <f>'02_Assumptions'!C40</f>
        <v>5</v>
      </c>
      <c r="D8" s="16">
        <f>'02_Assumptions'!D40</f>
        <v>5</v>
      </c>
      <c r="E8" s="16">
        <f>'02_Assumptions'!E40</f>
        <v>5</v>
      </c>
      <c r="F8" s="16">
        <f>'02_Assumptions'!F40</f>
        <v>5</v>
      </c>
    </row>
    <row r="9" spans="1:8">
      <c r="A9" t="s">
        <v>126</v>
      </c>
      <c r="B9" s="16">
        <f>'02_Assumptions'!B41</f>
        <v>7</v>
      </c>
      <c r="C9" s="16">
        <f>'02_Assumptions'!C41</f>
        <v>7</v>
      </c>
      <c r="D9" s="16">
        <f>'02_Assumptions'!D41</f>
        <v>7</v>
      </c>
      <c r="E9" s="16">
        <f>'02_Assumptions'!E41</f>
        <v>7</v>
      </c>
      <c r="F9" s="16">
        <f>'02_Assumptions'!F41</f>
        <v>7</v>
      </c>
    </row>
    <row r="10" spans="1:8">
      <c r="A10" t="s">
        <v>127</v>
      </c>
      <c r="B10" s="10">
        <f>B5*B7</f>
        <v>11173695600</v>
      </c>
      <c r="C10" s="10">
        <f>C5*C7</f>
        <v>12565032000</v>
      </c>
      <c r="D10" s="10">
        <f>D5*D7</f>
        <v>30431160000</v>
      </c>
      <c r="E10" s="10">
        <f>E5*E7</f>
        <v>54292032000</v>
      </c>
      <c r="F10" s="10">
        <f>F5*F7</f>
        <v>96164956800</v>
      </c>
    </row>
    <row r="11" spans="1:8">
      <c r="A11" t="s">
        <v>128</v>
      </c>
      <c r="B11" s="10">
        <f>B5*B8</f>
        <v>18622826000</v>
      </c>
      <c r="C11" s="10">
        <f>C5*C8</f>
        <v>20941720000</v>
      </c>
      <c r="D11" s="10">
        <f>D5*D8</f>
        <v>50718600000</v>
      </c>
      <c r="E11" s="10">
        <f>E5*E8</f>
        <v>90486720000</v>
      </c>
      <c r="F11" s="10">
        <f>F5*F8</f>
        <v>160274928000</v>
      </c>
    </row>
    <row r="12" spans="1:8">
      <c r="A12" t="s">
        <v>129</v>
      </c>
      <c r="B12" s="10">
        <f>B5*B9</f>
        <v>26071956400</v>
      </c>
      <c r="C12" s="10">
        <f>C5*C9</f>
        <v>29318408000</v>
      </c>
      <c r="D12" s="10">
        <f>D5*D9</f>
        <v>71006040000</v>
      </c>
      <c r="E12" s="10">
        <f>E5*E9</f>
        <v>126681408000</v>
      </c>
      <c r="F12" s="10">
        <f>F5*F9</f>
        <v>224384899200</v>
      </c>
    </row>
    <row r="13" spans="1:8">
      <c r="A13" t="s">
        <v>130</v>
      </c>
      <c r="B13" s="10">
        <f>'02_Assumptions'!B38</f>
        <v>46200000000</v>
      </c>
      <c r="C13" s="10">
        <f>'02_Assumptions'!C38</f>
        <v>46200000000</v>
      </c>
      <c r="D13" s="10">
        <f>'02_Assumptions'!D38</f>
        <v>46200000000</v>
      </c>
      <c r="E13" s="10">
        <f>'02_Assumptions'!E38</f>
        <v>46200000000</v>
      </c>
      <c r="F13" s="10">
        <f>'02_Assumptions'!F38</f>
        <v>46200000000</v>
      </c>
    </row>
    <row r="14" spans="1:8">
      <c r="A14" t="s">
        <v>131</v>
      </c>
      <c r="B14" s="10">
        <f>B13+'02_Assumptions'!B37</f>
        <v>54450000000</v>
      </c>
      <c r="C14" s="10">
        <f>C13+'02_Assumptions'!C37</f>
        <v>54450000000</v>
      </c>
      <c r="D14" s="10">
        <f>D13+'02_Assumptions'!D37</f>
        <v>54450000000</v>
      </c>
      <c r="E14" s="10">
        <f>E13+'02_Assumptions'!E37</f>
        <v>54450000000</v>
      </c>
      <c r="F14" s="10">
        <f>F13+'02_Assumptions'!F37</f>
        <v>54450000000</v>
      </c>
    </row>
    <row r="15" spans="1:8">
      <c r="A15" t="s">
        <v>132</v>
      </c>
      <c r="B15" s="12">
        <f>IF(B14=0,0,'02_Assumptions'!B37/B14)</f>
        <v>0.15151515151515152</v>
      </c>
      <c r="C15" s="12">
        <f>IF(C14=0,0,'02_Assumptions'!C37/C14)</f>
        <v>0.15151515151515152</v>
      </c>
      <c r="D15" s="12">
        <f>IF(D14=0,0,'02_Assumptions'!D37/D14)</f>
        <v>0.15151515151515152</v>
      </c>
      <c r="E15" s="12">
        <f>IF(E14=0,0,'02_Assumptions'!E37/E14)</f>
        <v>0.15151515151515152</v>
      </c>
      <c r="F15" s="12">
        <f>IF(F14=0,0,'02_Assumptions'!F37/F14)</f>
        <v>0.15151515151515152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"/>
  <sheetViews>
    <sheetView workbookViewId="0">
      <selection activeCell="C31" sqref="C31"/>
    </sheetView>
  </sheetViews>
  <sheetFormatPr defaultRowHeight="13.8"/>
  <cols>
    <col min="1" max="1" width="34" customWidth="1"/>
    <col min="2" max="2" width="18" customWidth="1"/>
    <col min="3" max="4" width="20" customWidth="1"/>
    <col min="5" max="5" width="44" customWidth="1"/>
  </cols>
  <sheetData>
    <row r="1" spans="1:8" ht="22.35" customHeight="1">
      <c r="A1" s="25" t="s">
        <v>133</v>
      </c>
      <c r="B1" s="26"/>
      <c r="C1" s="26"/>
      <c r="D1" s="26"/>
      <c r="E1" s="26"/>
      <c r="F1" s="23"/>
      <c r="G1" s="23"/>
      <c r="H1" s="23"/>
    </row>
    <row r="3" spans="1:8">
      <c r="A3" s="3" t="s">
        <v>134</v>
      </c>
      <c r="B3" s="3" t="s">
        <v>135</v>
      </c>
      <c r="C3" s="3" t="s">
        <v>50</v>
      </c>
      <c r="D3" s="3" t="s">
        <v>136</v>
      </c>
      <c r="E3" s="3" t="s">
        <v>137</v>
      </c>
    </row>
    <row r="4" spans="1:8">
      <c r="A4" t="s">
        <v>138</v>
      </c>
      <c r="B4" s="18">
        <v>1</v>
      </c>
      <c r="C4" s="4">
        <v>50</v>
      </c>
      <c r="D4" s="20">
        <f>B4*(1-D6)</f>
        <v>0.84848484848484851</v>
      </c>
      <c r="E4" t="s">
        <v>139</v>
      </c>
    </row>
    <row r="5" spans="1:8">
      <c r="A5" t="s">
        <v>140</v>
      </c>
      <c r="B5" s="18">
        <v>0.02</v>
      </c>
      <c r="C5" s="4">
        <v>0</v>
      </c>
      <c r="D5" s="20">
        <f>B5</f>
        <v>0.02</v>
      </c>
      <c r="E5" t="s">
        <v>141</v>
      </c>
    </row>
    <row r="6" spans="1:8">
      <c r="A6" t="s">
        <v>142</v>
      </c>
      <c r="B6" s="18">
        <v>0</v>
      </c>
      <c r="C6">
        <f>'02_Assumptions'!B37</f>
        <v>8250000000</v>
      </c>
      <c r="D6" s="20">
        <f>IF('11_Valuation'!B14=0,0,'02_Assumptions'!B37/'11_Valuation'!B14)</f>
        <v>0.15151515151515152</v>
      </c>
      <c r="E6" t="s">
        <v>143</v>
      </c>
    </row>
    <row r="7" spans="1:8">
      <c r="A7" t="s">
        <v>144</v>
      </c>
      <c r="B7" s="19">
        <f>SUM(B4:B6)</f>
        <v>1.02</v>
      </c>
      <c r="C7">
        <f>SUM(C4:C6)</f>
        <v>8250000050</v>
      </c>
      <c r="D7" s="20">
        <f>SUM(D4:D6)</f>
        <v>1.02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"/>
  <sheetViews>
    <sheetView workbookViewId="0">
      <selection activeCell="C6" sqref="C6"/>
    </sheetView>
  </sheetViews>
  <sheetFormatPr defaultRowHeight="13.8"/>
  <cols>
    <col min="1" max="1" width="36" customWidth="1"/>
    <col min="2" max="4" width="20" customWidth="1"/>
  </cols>
  <sheetData>
    <row r="1" spans="1:8" ht="22.35" customHeight="1">
      <c r="A1" s="25" t="s">
        <v>145</v>
      </c>
      <c r="B1" s="26"/>
      <c r="C1" s="26"/>
      <c r="D1" s="26"/>
      <c r="E1" s="23"/>
      <c r="F1" s="23"/>
      <c r="G1" s="23"/>
      <c r="H1" s="23"/>
    </row>
    <row r="3" spans="1:8">
      <c r="A3" s="3" t="s">
        <v>146</v>
      </c>
      <c r="B3" s="3" t="s">
        <v>147</v>
      </c>
      <c r="C3" s="3" t="s">
        <v>148</v>
      </c>
      <c r="D3" s="3" t="s">
        <v>149</v>
      </c>
    </row>
    <row r="5" spans="1:8">
      <c r="A5" t="s">
        <v>150</v>
      </c>
      <c r="B5" s="10">
        <f>'04_Revenue_Engine'!F13*0.875</f>
        <v>28048112400</v>
      </c>
      <c r="C5" s="10">
        <f>'04_Revenue_Engine'!F13</f>
        <v>32054985600</v>
      </c>
      <c r="D5" s="10">
        <f>'04_Revenue_Engine'!F13*1.1875</f>
        <v>38065295400</v>
      </c>
    </row>
    <row r="6" spans="1:8">
      <c r="A6" t="s">
        <v>151</v>
      </c>
      <c r="B6" s="16">
        <f>'02_Assumptions'!F39</f>
        <v>3</v>
      </c>
      <c r="C6" s="16">
        <f>'02_Assumptions'!F40</f>
        <v>5</v>
      </c>
      <c r="D6" s="16">
        <f>'02_Assumptions'!F41</f>
        <v>7</v>
      </c>
    </row>
    <row r="7" spans="1:8">
      <c r="A7" t="s">
        <v>152</v>
      </c>
      <c r="B7" s="10">
        <f>B5*B6</f>
        <v>84144337200</v>
      </c>
      <c r="C7" s="10">
        <f>C5*C6</f>
        <v>160274928000</v>
      </c>
      <c r="D7" s="10">
        <f>D5*D6</f>
        <v>266457067800</v>
      </c>
    </row>
    <row r="8" spans="1:8">
      <c r="A8" t="s">
        <v>153</v>
      </c>
      <c r="B8" s="12">
        <f>'12_Cap_Table'!D6</f>
        <v>0.15151515151515152</v>
      </c>
      <c r="C8" s="12">
        <f>'12_Cap_Table'!D6</f>
        <v>0.15151515151515152</v>
      </c>
      <c r="D8" s="12">
        <f>'12_Cap_Table'!D6</f>
        <v>0.15151515151515152</v>
      </c>
    </row>
    <row r="9" spans="1:8">
      <c r="A9" t="s">
        <v>154</v>
      </c>
      <c r="B9" s="10">
        <f>B7*B8</f>
        <v>12749142000</v>
      </c>
      <c r="C9" s="10">
        <f>C7*C8</f>
        <v>24284080000</v>
      </c>
      <c r="D9" s="10">
        <f>D7*D8</f>
        <v>40372283000</v>
      </c>
    </row>
    <row r="10" spans="1:8">
      <c r="A10" t="s">
        <v>155</v>
      </c>
      <c r="B10" s="10">
        <f>'02_Assumptions'!B37</f>
        <v>8250000000</v>
      </c>
      <c r="C10" s="10">
        <f>'02_Assumptions'!B37</f>
        <v>8250000000</v>
      </c>
      <c r="D10" s="10">
        <f>'02_Assumptions'!B37</f>
        <v>8250000000</v>
      </c>
    </row>
    <row r="11" spans="1:8">
      <c r="A11" t="s">
        <v>156</v>
      </c>
      <c r="B11" s="16">
        <f>IF(B10=0,0,B9/B10)</f>
        <v>1.5453505454545455</v>
      </c>
      <c r="C11" s="16">
        <f>IF(C10=0,0,C9/C10)</f>
        <v>2.9435248484848486</v>
      </c>
      <c r="D11" s="16">
        <f>IF(D10=0,0,D9/D10)</f>
        <v>4.8936100606060604</v>
      </c>
    </row>
    <row r="12" spans="1:8">
      <c r="A12" t="s">
        <v>157</v>
      </c>
      <c r="B12" s="12">
        <f>IF(B11=0,0,B11^(1/5)-1)</f>
        <v>9.0951394986271472E-2</v>
      </c>
      <c r="C12" s="12">
        <f>IF(C11=0,0,C11^(1/5)-1)</f>
        <v>0.24100502858041328</v>
      </c>
      <c r="D12" s="12">
        <f>IF(D11=0,0,D11^(1/5)-1)</f>
        <v>0.37380746547643939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9"/>
  <sheetViews>
    <sheetView workbookViewId="0"/>
  </sheetViews>
  <sheetFormatPr defaultRowHeight="13.8"/>
  <cols>
    <col min="1" max="1" width="28" customWidth="1"/>
    <col min="2" max="6" width="16" customWidth="1"/>
    <col min="7" max="8" width="18" customWidth="1"/>
  </cols>
  <sheetData>
    <row r="1" spans="1:8" ht="22.35" customHeight="1">
      <c r="A1" s="25" t="s">
        <v>158</v>
      </c>
      <c r="B1" s="26"/>
      <c r="C1" s="26"/>
      <c r="D1" s="26"/>
      <c r="E1" s="26"/>
      <c r="F1" s="26"/>
      <c r="G1" s="26"/>
      <c r="H1" s="26"/>
    </row>
    <row r="3" spans="1:8">
      <c r="A3" s="29" t="s">
        <v>159</v>
      </c>
      <c r="B3" s="29"/>
      <c r="C3" s="29"/>
      <c r="D3" s="29"/>
      <c r="E3" s="29"/>
      <c r="F3" s="29"/>
      <c r="G3" s="29"/>
      <c r="H3" s="29"/>
    </row>
    <row r="5" spans="1:8">
      <c r="A5" s="21" t="s">
        <v>160</v>
      </c>
      <c r="B5" s="22">
        <f>'04_Revenue_Engine'!F13</f>
        <v>32054985600</v>
      </c>
      <c r="C5" s="21" t="s">
        <v>161</v>
      </c>
      <c r="D5" s="22">
        <f>'10_SaaS_Metrics'!F6</f>
        <v>9764880000</v>
      </c>
      <c r="E5" s="21" t="s">
        <v>162</v>
      </c>
      <c r="F5" s="22">
        <f>'08_EBITDA'!F10</f>
        <v>12529100720</v>
      </c>
      <c r="G5" s="21" t="s">
        <v>163</v>
      </c>
      <c r="H5" s="22">
        <f>'03_Customer_Growth'!F8</f>
        <v>1403</v>
      </c>
    </row>
    <row r="8" spans="1:8">
      <c r="A8" s="21" t="s">
        <v>164</v>
      </c>
      <c r="B8" s="24">
        <f>'11_Valuation'!B15</f>
        <v>0.15151515151515152</v>
      </c>
      <c r="C8" s="21" t="s">
        <v>165</v>
      </c>
      <c r="D8" s="22">
        <f>'13_Investor_Return'!C7</f>
        <v>160274928000</v>
      </c>
      <c r="E8" s="21" t="s">
        <v>166</v>
      </c>
      <c r="F8" s="22">
        <f>'13_Investor_Return'!C11</f>
        <v>2.9435248484848486</v>
      </c>
      <c r="G8" s="21" t="s">
        <v>167</v>
      </c>
      <c r="H8" s="24">
        <f>'13_Investor_Return'!C12</f>
        <v>0.24100502858041328</v>
      </c>
    </row>
    <row r="11" spans="1:8">
      <c r="A11" s="3" t="s">
        <v>20</v>
      </c>
      <c r="B11" s="3">
        <v>2025</v>
      </c>
      <c r="C11" s="3">
        <v>2026</v>
      </c>
      <c r="D11" s="3">
        <v>2027</v>
      </c>
      <c r="E11" s="3">
        <v>2028</v>
      </c>
      <c r="F11" s="3">
        <v>2029</v>
      </c>
    </row>
    <row r="12" spans="1:8">
      <c r="A12" t="s">
        <v>168</v>
      </c>
      <c r="B12" s="10">
        <f>'03_Customer_Growth'!B8</f>
        <v>246</v>
      </c>
      <c r="C12" s="10">
        <f>'03_Customer_Growth'!C8</f>
        <v>276</v>
      </c>
      <c r="D12" s="10">
        <f>'03_Customer_Growth'!D8</f>
        <v>520</v>
      </c>
      <c r="E12" s="10">
        <f>'03_Customer_Growth'!E8</f>
        <v>912</v>
      </c>
      <c r="F12" s="10">
        <f>'03_Customer_Growth'!F8</f>
        <v>1403</v>
      </c>
    </row>
    <row r="13" spans="1:8">
      <c r="A13" t="s">
        <v>169</v>
      </c>
      <c r="B13" s="10">
        <f>'03_Customer_Growth'!B10</f>
        <v>174906</v>
      </c>
      <c r="C13" s="10">
        <f>'03_Customer_Growth'!C10</f>
        <v>193200</v>
      </c>
      <c r="D13" s="10">
        <f>'03_Customer_Growth'!D10</f>
        <v>213200</v>
      </c>
      <c r="E13" s="10">
        <f>'03_Customer_Growth'!E10</f>
        <v>437760</v>
      </c>
      <c r="F13" s="10">
        <f>'03_Customer_Growth'!F10</f>
        <v>752008</v>
      </c>
    </row>
    <row r="14" spans="1:8">
      <c r="A14" s="13" t="s">
        <v>123</v>
      </c>
      <c r="B14" s="14">
        <f>'04_Revenue_Engine'!B13</f>
        <v>3724565200</v>
      </c>
      <c r="C14" s="14">
        <f>'04_Revenue_Engine'!C13</f>
        <v>4188344000</v>
      </c>
      <c r="D14" s="14">
        <f>'04_Revenue_Engine'!D13</f>
        <v>10143720000</v>
      </c>
      <c r="E14" s="14">
        <f>'04_Revenue_Engine'!E13</f>
        <v>18097344000</v>
      </c>
      <c r="F14" s="14">
        <f>'04_Revenue_Engine'!F13</f>
        <v>32054985600</v>
      </c>
    </row>
    <row r="15" spans="1:8">
      <c r="A15" t="s">
        <v>114</v>
      </c>
      <c r="B15" s="10">
        <f>'10_SaaS_Metrics'!B6</f>
        <v>1712160000</v>
      </c>
      <c r="C15" s="10">
        <f>'10_SaaS_Metrics'!C6</f>
        <v>1920960000</v>
      </c>
      <c r="D15" s="10">
        <f>'10_SaaS_Metrics'!D6</f>
        <v>3619200000</v>
      </c>
      <c r="E15" s="10">
        <f>'10_SaaS_Metrics'!E6</f>
        <v>6347520000</v>
      </c>
      <c r="F15" s="10">
        <f>'10_SaaS_Metrics'!F6</f>
        <v>9764880000</v>
      </c>
    </row>
    <row r="16" spans="1:8">
      <c r="A16" t="s">
        <v>80</v>
      </c>
      <c r="B16" s="12">
        <f>'05_COGS'!B12</f>
        <v>0.75497542209759139</v>
      </c>
      <c r="C16" s="12">
        <f>'05_COGS'!C12</f>
        <v>0.7525570201492523</v>
      </c>
      <c r="D16" s="12">
        <f>'05_COGS'!D12</f>
        <v>0.77206204429933001</v>
      </c>
      <c r="E16" s="12">
        <f>'05_COGS'!E12</f>
        <v>0.81644355326394857</v>
      </c>
      <c r="F16" s="12">
        <f>'05_COGS'!F12</f>
        <v>0.85724888673791821</v>
      </c>
    </row>
    <row r="17" spans="1:6">
      <c r="A17" s="13" t="s">
        <v>104</v>
      </c>
      <c r="B17" s="14">
        <f>'08_EBITDA'!B10</f>
        <v>-682044816</v>
      </c>
      <c r="C17" s="14">
        <f>'08_EBITDA'!C10</f>
        <v>-1486032320</v>
      </c>
      <c r="D17" s="14">
        <f>'08_EBITDA'!D10</f>
        <v>781581200</v>
      </c>
      <c r="E17" s="14">
        <f>'08_EBITDA'!E10</f>
        <v>4507459840</v>
      </c>
      <c r="F17" s="14">
        <f>'08_EBITDA'!F10</f>
        <v>12529100720</v>
      </c>
    </row>
    <row r="18" spans="1:6">
      <c r="A18" t="s">
        <v>105</v>
      </c>
      <c r="B18" s="12">
        <f>'08_EBITDA'!B11</f>
        <v>-0.18312065419072271</v>
      </c>
      <c r="C18" s="12">
        <f>'08_EBITDA'!C11</f>
        <v>-0.3548018787377541</v>
      </c>
      <c r="D18" s="12">
        <f>'08_EBITDA'!D11</f>
        <v>7.7050746668874931E-2</v>
      </c>
      <c r="E18" s="12">
        <f>'08_EBITDA'!E11</f>
        <v>0.24906747863111847</v>
      </c>
      <c r="F18" s="12">
        <f>'08_EBITDA'!F11</f>
        <v>0.39086277798858221</v>
      </c>
    </row>
    <row r="19" spans="1:6">
      <c r="A19" t="s">
        <v>109</v>
      </c>
      <c r="B19" s="10">
        <f>'09_Cash_Flow'!B8</f>
        <v>-682044816</v>
      </c>
      <c r="C19" s="10">
        <f>'09_Cash_Flow'!C8</f>
        <v>6081922864</v>
      </c>
      <c r="D19" s="10">
        <f>'09_Cash_Flow'!D8</f>
        <v>6863504064</v>
      </c>
      <c r="E19" s="10">
        <f>'09_Cash_Flow'!E8</f>
        <v>11370963904</v>
      </c>
      <c r="F19" s="10">
        <f>'09_Cash_Flow'!F8</f>
        <v>23900064624</v>
      </c>
    </row>
  </sheetData>
  <mergeCells count="2">
    <mergeCell ref="A1:H1"/>
    <mergeCell ref="A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01_Cover</vt:lpstr>
      <vt:lpstr>02_Assumptions</vt:lpstr>
      <vt:lpstr>03_Customer_Growth</vt:lpstr>
      <vt:lpstr>04_Revenue_Engine</vt:lpstr>
      <vt:lpstr>05_COGS</vt:lpstr>
      <vt:lpstr>06_HR_Planning</vt:lpstr>
      <vt:lpstr>07_OPEX</vt:lpstr>
      <vt:lpstr>08_EBITDA</vt:lpstr>
      <vt:lpstr>09_Cash_Flow</vt:lpstr>
      <vt:lpstr>10_SaaS_Metrics</vt:lpstr>
      <vt:lpstr>11_Valuation</vt:lpstr>
      <vt:lpstr>12_Cap_Table</vt:lpstr>
      <vt:lpstr>13_Investor_Return</vt:lpstr>
      <vt:lpstr>14_Dashboard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 Syahputra</cp:lastModifiedBy>
  <dcterms:modified xsi:type="dcterms:W3CDTF">2026-08-03T03:19:03Z</dcterms:modified>
</cp:coreProperties>
</file>