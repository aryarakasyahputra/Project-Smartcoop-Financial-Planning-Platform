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96f51a571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over" sheetId="1" r:id="Rdae70838c6ed46b9"/>
    <x:sheet xmlns:r="http://schemas.openxmlformats.org/officeDocument/2006/relationships" name="02_Assumptions" sheetId="2" r:id="Rce1b8c0d1d7941a1"/>
    <x:sheet xmlns:r="http://schemas.openxmlformats.org/officeDocument/2006/relationships" name="03_Customer_Growth" sheetId="3" r:id="R4c68c4316f7c494d"/>
    <x:sheet xmlns:r="http://schemas.openxmlformats.org/officeDocument/2006/relationships" name="04_Revenue_Engine" sheetId="4" r:id="R0ae74265e72e4e81"/>
    <x:sheet xmlns:r="http://schemas.openxmlformats.org/officeDocument/2006/relationships" name="05_COGS" sheetId="5" r:id="Redb6786d7a2148c0"/>
    <x:sheet xmlns:r="http://schemas.openxmlformats.org/officeDocument/2006/relationships" name="06_HR_Planning" sheetId="6" r:id="Rf79ae1f123174df2"/>
    <x:sheet xmlns:r="http://schemas.openxmlformats.org/officeDocument/2006/relationships" name="07_OPEX" sheetId="7" r:id="Ra4239a0649884bca"/>
    <x:sheet xmlns:r="http://schemas.openxmlformats.org/officeDocument/2006/relationships" name="08_EBITDA" sheetId="8" r:id="R25c6080629614c13"/>
    <x:sheet xmlns:r="http://schemas.openxmlformats.org/officeDocument/2006/relationships" name="09_Cash_Flow" sheetId="9" r:id="Ra2f648b748c84816"/>
    <x:sheet xmlns:r="http://schemas.openxmlformats.org/officeDocument/2006/relationships" name="10_SaaS_Metrics" sheetId="10" r:id="R6031c27b9ffd47c2"/>
    <x:sheet xmlns:r="http://schemas.openxmlformats.org/officeDocument/2006/relationships" name="11_Valuation" sheetId="11" r:id="R25ea018d225549e8"/>
    <x:sheet xmlns:r="http://schemas.openxmlformats.org/officeDocument/2006/relationships" name="12_Cap_Table" sheetId="12" r:id="Rdc292cffafa4472b"/>
    <x:sheet xmlns:r="http://schemas.openxmlformats.org/officeDocument/2006/relationships" name="13_Investor_Return" sheetId="13" r:id="R5cec500353864aa4"/>
    <x:sheet xmlns:r="http://schemas.openxmlformats.org/officeDocument/2006/relationships" name="14_Dashboard" sheetId="14" r:id="Rff846ed1aafd41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%"/>
    <x:numFmt numFmtId="202" formatCode="0.0x"/>
    <x:numFmt numFmtId="203" formatCode="0.0"/>
    <x:numFmt numFmtId="204" formatCode="#,##0;[Red](#,##0);-"/>
  </x:numFmts>
  <x:fonts count="10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341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4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left"/>
    </x:xf>
    <x:xf numFmtId="0" fontId="4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4" fillId="7" borderId="0" xfId="0" applyNumberFormat="1" applyFont="1" applyFill="1" applyBorder="1"/>
    <x:xf numFmtId="0" fontId="6" fillId="7" borderId="0" xfId="0" applyNumberFormat="1" applyFont="1" applyFill="1" applyBorder="1"/>
    <x:xf numFmtId="0" fontId="4" fillId="7" borderId="1" xfId="0" applyNumberFormat="1" applyFont="1" applyFill="1" applyBorder="1"/>
    <x:xf numFmtId="0" fontId="6" fillId="7" borderId="1" xfId="0" applyNumberFormat="1" applyFont="1" applyFill="1" applyBorder="1"/>
    <x:xf numFmtId="0" fontId="2" fillId="4" borderId="2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left" wrapText="1"/>
    </x:xf>
    <x:xf numFmtId="0" fontId="4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wrapText="1"/>
    </x:xf>
    <x:xf numFmtId="0" fontId="2" fillId="4" borderId="3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left" wrapText="1"/>
    </x:xf>
    <x:xf numFmtId="0" fontId="4" fillId="6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left" wrapText="1"/>
    </x:xf>
    <x:xf numFmtId="200" fontId="4" fillId="6" borderId="0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wrapText="1"/>
    </x:xf>
    <x:xf numFmtId="201" fontId="4" fillId="6" borderId="0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wrapText="1"/>
    </x:xf>
    <x:xf numFmtId="202" fontId="4" fillId="6" borderId="0" xfId="0" applyNumberFormat="1" applyFont="1" applyFill="1" applyBorder="1" applyAlignment="1">
      <x:alignment wrapText="1"/>
    </x:xf>
    <x:xf numFmtId="202" fontId="4" fillId="6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7" fillId="7" borderId="1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0" fontId="4" fillId="6" borderId="0" xfId="0" applyNumberFormat="1" applyFont="1" applyFill="1" applyBorder="1"/>
    <x:xf numFmtId="200" fontId="0" fillId="0" borderId="0" xfId="0" applyNumberFormat="1" applyFont="1" applyFill="1" applyBorder="1"/>
    <x:xf numFmtId="200" fontId="4" fillId="6" borderId="1" xfId="0" applyNumberFormat="1" applyFont="1" applyFill="1" applyBorder="1"/>
    <x:xf numFmtId="200" fontId="0" fillId="0" borderId="1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/>
    </x:xf>
    <x:xf numFmtId="204" fontId="1" fillId="2" borderId="0" xfId="0" applyNumberFormat="1" applyFont="1" applyFill="1" applyBorder="1" applyAlignment="1">
      <x:alignment horizontal="left"/>
    </x:xf>
    <x:xf numFmtId="204" fontId="1" fillId="2" borderId="1" xfId="0" applyNumberFormat="1" applyFont="1" applyFill="1" applyBorder="1" applyAlignment="1">
      <x:alignment horizontal="left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7" fillId="7" borderId="0" xfId="0" applyNumberFormat="1" applyFont="1" applyFill="1" applyBorder="1" applyAlignment="1">
      <x:alignment horizontal="center"/>
    </x:xf>
    <x:xf numFmtId="200" fontId="7" fillId="7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c7536c0b6447f5" /><Relationship Type="http://schemas.openxmlformats.org/officeDocument/2006/relationships/theme" Target="/xl/theme/theme1.xml" Id="Rc2967812f0294e1a" /><Relationship Type="http://schemas.openxmlformats.org/officeDocument/2006/relationships/sharedStrings" Target="/xl/sharedStrings.xml" Id="Rdb24769b02cf492a" /><Relationship Type="http://schemas.openxmlformats.org/officeDocument/2006/relationships/worksheet" Target="/xl/worksheets/sheet1.xml" Id="Rdae70838c6ed46b9" /><Relationship Type="http://schemas.openxmlformats.org/officeDocument/2006/relationships/worksheet" Target="/xl/worksheets/sheet2.xml" Id="Rce1b8c0d1d7941a1" /><Relationship Type="http://schemas.openxmlformats.org/officeDocument/2006/relationships/worksheet" Target="/xl/worksheets/sheet3.xml" Id="R4c68c4316f7c494d" /><Relationship Type="http://schemas.openxmlformats.org/officeDocument/2006/relationships/worksheet" Target="/xl/worksheets/sheet4.xml" Id="R0ae74265e72e4e81" /><Relationship Type="http://schemas.openxmlformats.org/officeDocument/2006/relationships/worksheet" Target="/xl/worksheets/sheet5.xml" Id="Redb6786d7a2148c0" /><Relationship Type="http://schemas.openxmlformats.org/officeDocument/2006/relationships/worksheet" Target="/xl/worksheets/sheet6.xml" Id="Rf79ae1f123174df2" /><Relationship Type="http://schemas.openxmlformats.org/officeDocument/2006/relationships/worksheet" Target="/xl/worksheets/sheet7.xml" Id="Ra4239a0649884bca" /><Relationship Type="http://schemas.openxmlformats.org/officeDocument/2006/relationships/worksheet" Target="/xl/worksheets/sheet8.xml" Id="R25c6080629614c13" /><Relationship Type="http://schemas.openxmlformats.org/officeDocument/2006/relationships/worksheet" Target="/xl/worksheets/sheet9.xml" Id="Ra2f648b748c84816" /><Relationship Type="http://schemas.openxmlformats.org/officeDocument/2006/relationships/worksheet" Target="/xl/worksheets/sheet10.xml" Id="R6031c27b9ffd47c2" /><Relationship Type="http://schemas.openxmlformats.org/officeDocument/2006/relationships/worksheet" Target="/xl/worksheets/sheet11.xml" Id="R25ea018d225549e8" /><Relationship Type="http://schemas.openxmlformats.org/officeDocument/2006/relationships/worksheet" Target="/xl/worksheets/sheet12.xml" Id="Rdc292cffafa4472b" /><Relationship Type="http://schemas.openxmlformats.org/officeDocument/2006/relationships/worksheet" Target="/xl/worksheets/sheet13.xml" Id="R5cec500353864aa4" /><Relationship Type="http://schemas.openxmlformats.org/officeDocument/2006/relationships/worksheet" Target="/xl/worksheets/sheet14.xml" Id="Rff846ed1aafd41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1a244e9aad49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Financial Projection Summary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Series 1</c:v>
          </c:tx>
          <c:cat>
            <c:strRef>
              <c:f>'14_Dashboard'!$A$11:$A$18</c:f>
              <c:strCache>
                <c:ptCount val="0"/>
              </c:strCache>
            </c:strRef>
          </c:cat>
          <c:val>
            <c:numRef>
              <c:f>'14_Dashboard'!$B$11:$B$18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Series 2</c:v>
          </c:tx>
          <c:cat>
            <c:strRef>
              <c:f>'14_Dashboard'!$A$11:$A$18</c:f>
              <c:strCache>
                <c:ptCount val="0"/>
              </c:strCache>
            </c:strRef>
          </c:cat>
          <c:val>
            <c:numRef>
              <c:f>'14_Dashboard'!$C$11:$C$18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Series 3</c:v>
          </c:tx>
          <c:cat>
            <c:strRef>
              <c:f>'14_Dashboard'!$A$11:$A$18</c:f>
              <c:strCache>
                <c:ptCount val="0"/>
              </c:strCache>
            </c:strRef>
          </c:cat>
          <c:val>
            <c:numRef>
              <c:f>'14_Dashboard'!$D$11:$D$18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Series 4</c:v>
          </c:tx>
          <c:cat>
            <c:strRef>
              <c:f>'14_Dashboard'!$A$11:$A$18</c:f>
              <c:strCache>
                <c:ptCount val="0"/>
              </c:strCache>
            </c:strRef>
          </c:cat>
          <c:val>
            <c:numRef>
              <c:f>'14_Dashboard'!$E$11:$E$18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Series 5</c:v>
          </c:tx>
          <c:cat>
            <c:strRef>
              <c:f>'14_Dashboard'!$A$11:$A$18</c:f>
              <c:strCache>
                <c:ptCount val="0"/>
              </c:strCache>
            </c:strRef>
          </c:cat>
          <c:val>
            <c:numRef>
              <c:f>'14_Dashboard'!$F$11:$F$18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a244e9aad49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279a63cf4b9f483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28" customHeight="1">
      <x:c r="A1" s="4" t="str">
        <x:v>Smartcoop Financial Model v2.0</x:v>
      </x:c>
      <x:c r="B1" s="88"/>
      <x:c r="C1" s="88"/>
      <x:c r="D1" s="88"/>
      <x:c r="E1" s="88"/>
      <x:c r="F1" s="88"/>
      <x:c r="G1" s="88"/>
      <x:c r="H1" s="88"/>
    </x:row>
    <x:row r="3">
      <x:c r="A3" s="9" t="str">
        <x:v>Company</x:v>
      </x:c>
      <x:c r="B3" s="12" t="str">
        <x:v>Smartcoop</x:v>
      </x:c>
    </x:row>
    <x:row r="4">
      <x:c r="A4" s="9" t="str">
        <x:v>Model Type</x:v>
      </x:c>
      <x:c r="B4" s="12" t="str">
        <x:v>Driver-Based Financial Model</x:v>
      </x:c>
    </x:row>
    <x:row r="5">
      <x:c r="A5" s="9" t="str">
        <x:v>Purpose</x:v>
      </x:c>
      <x:c r="B5" s="12" t="str">
        <x:v>Seed Round / Board Dashboard / Due Diligence</x:v>
      </x:c>
    </x:row>
    <x:row r="6">
      <x:c r="A6" s="9" t="str">
        <x:v>Currency</x:v>
      </x:c>
      <x:c r="B6" s="12" t="str">
        <x:v>IDR</x:v>
      </x:c>
    </x:row>
    <x:row r="7">
      <x:c r="A7" s="9" t="str">
        <x:v>Units</x:v>
      </x:c>
      <x:c r="B7" s="12" t="str">
        <x:v>Full Rupiah unless stated otherwise</x:v>
      </x:c>
    </x:row>
    <x:row r="8">
      <x:c r="A8" s="9" t="str">
        <x:v>Version</x:v>
      </x:c>
      <x:c r="B8" s="12" t="str">
        <x:v>v2.0</x:v>
      </x:c>
    </x:row>
    <x:row r="9">
      <x:c r="A9" s="9" t="str">
        <x:v>Prepared for</x:v>
      </x:c>
      <x:c r="B9" s="12" t="str">
        <x:v>Internal / Investor Review</x:v>
      </x:c>
    </x:row>
    <x:row r="10">
      <x:c r="A10" s="9" t="str">
        <x:v>Last Updated</x:v>
      </x:c>
      <x:c r="B10" s="12" t="str">
        <x:v>2026-07-06</x:v>
      </x:c>
    </x:row>
    <x:row r="11">
      <x:c r="A11" s="9" t="str">
        <x:v>Note</x:v>
      </x:c>
      <x:c r="B11" s="12" t="str">
        <x:v>Blue cells are hardcoded inputs; black/green cells are formulas or linked outputs.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02. Assumptions / Control Panel</x:v>
      </x:c>
      <x:c r="B1" s="88"/>
      <x:c r="C1" s="88"/>
      <x:c r="D1" s="88"/>
      <x:c r="E1" s="88"/>
      <x:c r="F1" s="88"/>
      <x:c r="G1" s="90"/>
      <x:c r="H1" s="90"/>
    </x:row>
    <x:row r="3">
      <x:c r="A3" s="40" t="str">
        <x:v>Metric / Driver</x:v>
      </x:c>
      <x:c r="B3" s="40" t="n">
        <x:v>2025</x:v>
      </x:c>
      <x:c r="C3" s="40" t="n">
        <x:v>2026</x:v>
      </x:c>
      <x:c r="D3" s="40" t="n">
        <x:v>2027</x:v>
      </x:c>
      <x:c r="E3" s="40" t="n">
        <x:v>2028</x:v>
      </x:c>
      <x:c r="F3" s="40" t="n">
        <x:v>2029</x:v>
      </x:c>
    </x:row>
    <x:row r="4">
      <x:c r="A4" s="12"/>
      <x:c r="B4" s="12"/>
      <x:c r="C4" s="12"/>
      <x:c r="D4" s="12"/>
      <x:c r="E4" s="12"/>
      <x:c r="F4" s="12"/>
    </x:row>
    <x:row r="5" ht="22" customHeight="1">
      <x:c r="A5" s="41" t="str">
        <x:v>Customer Growth</x:v>
      </x:c>
      <x:c r="B5" s="41"/>
      <x:c r="C5" s="41"/>
      <x:c r="D5" s="41"/>
      <x:c r="E5" s="41"/>
      <x:c r="F5" s="41"/>
    </x:row>
    <x:row r="6">
      <x:c r="A6" s="12" t="str">
        <x:v>Beginning Active Cooperatives</x:v>
      </x:c>
      <x:c r="B6" s="42" t="n">
        <x:v>215</x:v>
      </x:c>
      <x:c r="C6" s="43" t="n">
        <x:f>'03_Customer_Growth'!B8</x:f>
        <x:v>246</x:v>
      </x:c>
      <x:c r="D6" s="43" t="n">
        <x:f>'03_Customer_Growth'!C8</x:f>
        <x:v>276</x:v>
      </x:c>
      <x:c r="E6" s="43" t="n">
        <x:f>'03_Customer_Growth'!D8</x:f>
        <x:v>520</x:v>
      </x:c>
      <x:c r="F6" s="43" t="n">
        <x:f>'03_Customer_Growth'!E8</x:f>
        <x:v>912</x:v>
      </x:c>
    </x:row>
    <x:row r="7">
      <x:c r="A7" s="12" t="str">
        <x:v>New Cooperatives Acquired</x:v>
      </x:c>
      <x:c r="B7" s="42" t="n">
        <x:v>35</x:v>
      </x:c>
      <x:c r="C7" s="42" t="n">
        <x:v>35</x:v>
      </x:c>
      <x:c r="D7" s="42" t="n">
        <x:v>250</x:v>
      </x:c>
      <x:c r="E7" s="42" t="n">
        <x:v>400</x:v>
      </x:c>
      <x:c r="F7" s="42" t="n">
        <x:v>500</x:v>
      </x:c>
    </x:row>
    <x:row r="8">
      <x:c r="A8" s="12" t="str">
        <x:v>Monthly Churn Rate</x:v>
      </x:c>
      <x:c r="B8" s="50" t="n">
        <x:v>0.02</x:v>
      </x:c>
      <x:c r="C8" s="50" t="n">
        <x:v>0.02</x:v>
      </x:c>
      <x:c r="D8" s="50" t="n">
        <x:v>0.02</x:v>
      </x:c>
      <x:c r="E8" s="50" t="n">
        <x:v>0.015</x:v>
      </x:c>
      <x:c r="F8" s="50" t="n">
        <x:v>0.01</x:v>
      </x:c>
    </x:row>
    <x:row r="9">
      <x:c r="A9" s="12" t="str">
        <x:v>Average Members / Cooperative</x:v>
      </x:c>
      <x:c r="B9" s="42" t="n">
        <x:v>711</x:v>
      </x:c>
      <x:c r="C9" s="42" t="n">
        <x:v>700</x:v>
      </x:c>
      <x:c r="D9" s="42" t="n">
        <x:v>410</x:v>
      </x:c>
      <x:c r="E9" s="42" t="n">
        <x:v>480</x:v>
      </x:c>
      <x:c r="F9" s="42" t="n">
        <x:v>536</x:v>
      </x:c>
    </x:row>
    <x:row r="10">
      <x:c r="A10" s="12" t="str">
        <x:v>Subscription-Paying %</x:v>
      </x:c>
      <x:c r="B10" s="50" t="n">
        <x:v>1</x:v>
      </x:c>
      <x:c r="C10" s="50" t="n">
        <x:v>1</x:v>
      </x:c>
      <x:c r="D10" s="50" t="n">
        <x:v>1</x:v>
      </x:c>
      <x:c r="E10" s="50" t="n">
        <x:v>1</x:v>
      </x:c>
      <x:c r="F10" s="50" t="n">
        <x:v>1</x:v>
      </x:c>
    </x:row>
    <x:row r="11">
      <x:c r="A11" s="12"/>
      <x:c r="B11" s="42"/>
      <x:c r="C11" s="42"/>
      <x:c r="D11" s="42"/>
      <x:c r="E11" s="42"/>
      <x:c r="F11" s="42"/>
    </x:row>
    <x:row r="12" ht="22" customHeight="1">
      <x:c r="A12" s="41" t="str">
        <x:v>Pricing &amp; Revenue Drivers</x:v>
      </x:c>
      <x:c r="B12" s="44"/>
      <x:c r="C12" s="44"/>
      <x:c r="D12" s="44"/>
      <x:c r="E12" s="44"/>
      <x:c r="F12" s="44"/>
    </x:row>
    <x:row r="13">
      <x:c r="A13" s="12" t="str">
        <x:v>Setup Fee / Paid Implementation Coop</x:v>
      </x:c>
      <x:c r="B13" s="42" t="n">
        <x:v>40000000</x:v>
      </x:c>
      <x:c r="C13" s="42" t="n">
        <x:v>40000000</x:v>
      </x:c>
      <x:c r="D13" s="42" t="n">
        <x:v>40000000</x:v>
      </x:c>
      <x:c r="E13" s="42" t="n">
        <x:v>40000000</x:v>
      </x:c>
      <x:c r="F13" s="42" t="n">
        <x:v>40000000</x:v>
      </x:c>
    </x:row>
    <x:row r="14">
      <x:c r="A14" s="12" t="str">
        <x:v>Paid Implementation Coops</x:v>
      </x:c>
      <x:c r="B14" s="42" t="n">
        <x:v>25</x:v>
      </x:c>
      <x:c r="C14" s="42" t="n">
        <x:v>30</x:v>
      </x:c>
      <x:c r="D14" s="42" t="n">
        <x:v>130</x:v>
      </x:c>
      <x:c r="E14" s="42" t="n">
        <x:v>180</x:v>
      </x:c>
      <x:c r="F14" s="42" t="n">
        <x:v>260</x:v>
      </x:c>
    </x:row>
    <x:row r="15">
      <x:c r="A15" s="12" t="str">
        <x:v>Monthly Subscription Fee</x:v>
      </x:c>
      <x:c r="B15" s="42" t="n">
        <x:v>500000</x:v>
      </x:c>
      <x:c r="C15" s="42" t="n">
        <x:v>500000</x:v>
      </x:c>
      <x:c r="D15" s="42" t="n">
        <x:v>500000</x:v>
      </x:c>
      <x:c r="E15" s="42" t="n">
        <x:v>500000</x:v>
      </x:c>
      <x:c r="F15" s="42" t="n">
        <x:v>500000</x:v>
      </x:c>
    </x:row>
    <x:row r="16">
      <x:c r="A16" s="12" t="str">
        <x:v>iOS Add-on Monthly Fee</x:v>
      </x:c>
      <x:c r="B16" s="42" t="n">
        <x:v>200000</x:v>
      </x:c>
      <x:c r="C16" s="42" t="n">
        <x:v>200000</x:v>
      </x:c>
      <x:c r="D16" s="42" t="n">
        <x:v>200000</x:v>
      </x:c>
      <x:c r="E16" s="42" t="n">
        <x:v>200000</x:v>
      </x:c>
      <x:c r="F16" s="42" t="n">
        <x:v>200000</x:v>
      </x:c>
    </x:row>
    <x:row r="17">
      <x:c r="A17" s="12" t="str">
        <x:v>iOS Adoption %</x:v>
      </x:c>
      <x:c r="B17" s="50" t="n">
        <x:v>0.4</x:v>
      </x:c>
      <x:c r="C17" s="50" t="n">
        <x:v>0.4</x:v>
      </x:c>
      <x:c r="D17" s="50" t="n">
        <x:v>0.4</x:v>
      </x:c>
      <x:c r="E17" s="50" t="n">
        <x:v>0.4</x:v>
      </x:c>
      <x:c r="F17" s="50" t="n">
        <x:v>0.4</x:v>
      </x:c>
    </x:row>
    <x:row r="18">
      <x:c r="A18" s="12" t="str">
        <x:v>White Label Projects</x:v>
      </x:c>
      <x:c r="B18" s="42" t="n">
        <x:v>3</x:v>
      </x:c>
      <x:c r="C18" s="42" t="n">
        <x:v>4</x:v>
      </x:c>
      <x:c r="D18" s="42" t="n">
        <x:v>8</x:v>
      </x:c>
      <x:c r="E18" s="42" t="n">
        <x:v>15</x:v>
      </x:c>
      <x:c r="F18" s="42" t="n">
        <x:v>25</x:v>
      </x:c>
    </x:row>
    <x:row r="19">
      <x:c r="A19" s="12" t="str">
        <x:v>White Label Fee / Project</x:v>
      </x:c>
      <x:c r="B19" s="42" t="n">
        <x:v>20000000</x:v>
      </x:c>
      <x:c r="C19" s="42" t="n">
        <x:v>20000000</x:v>
      </x:c>
      <x:c r="D19" s="42" t="n">
        <x:v>20000000</x:v>
      </x:c>
      <x:c r="E19" s="42" t="n">
        <x:v>20000000</x:v>
      </x:c>
      <x:c r="F19" s="42" t="n">
        <x:v>20000000</x:v>
      </x:c>
    </x:row>
    <x:row r="20">
      <x:c r="A20" s="12" t="str">
        <x:v>PPOB Active Cooperatives %</x:v>
      </x:c>
      <x:c r="B20" s="50" t="n">
        <x:v>0.6</x:v>
      </x:c>
      <x:c r="C20" s="50" t="n">
        <x:v>0.6</x:v>
      </x:c>
      <x:c r="D20" s="50" t="n">
        <x:v>0.6</x:v>
      </x:c>
      <x:c r="E20" s="50" t="n">
        <x:v>0.65</x:v>
      </x:c>
      <x:c r="F20" s="50" t="n">
        <x:v>0.7</x:v>
      </x:c>
    </x:row>
    <x:row r="21">
      <x:c r="A21" s="12" t="str">
        <x:v>PPOB Transactions / Active Coop / Month</x:v>
      </x:c>
      <x:c r="B21" s="42" t="n">
        <x:v>20</x:v>
      </x:c>
      <x:c r="C21" s="42" t="n">
        <x:v>20</x:v>
      </x:c>
      <x:c r="D21" s="42" t="n">
        <x:v>20</x:v>
      </x:c>
      <x:c r="E21" s="42" t="n">
        <x:v>20</x:v>
      </x:c>
      <x:c r="F21" s="42" t="n">
        <x:v>20</x:v>
      </x:c>
    </x:row>
    <x:row r="22">
      <x:c r="A22" s="12" t="str">
        <x:v>Average PPOB Fee / Transaction</x:v>
      </x:c>
      <x:c r="B22" s="42" t="n">
        <x:v>1000</x:v>
      </x:c>
      <x:c r="C22" s="42" t="n">
        <x:v>1000</x:v>
      </x:c>
      <x:c r="D22" s="42" t="n">
        <x:v>1000</x:v>
      </x:c>
      <x:c r="E22" s="42" t="n">
        <x:v>1000</x:v>
      </x:c>
      <x:c r="F22" s="42" t="n">
        <x:v>1000</x:v>
      </x:c>
    </x:row>
    <x:row r="23">
      <x:c r="A23" s="12" t="str">
        <x:v>Academy Participants % of Members</x:v>
      </x:c>
      <x:c r="B23" s="50" t="n">
        <x:v>0.001</x:v>
      </x:c>
      <x:c r="C23" s="50" t="n">
        <x:v>0.001</x:v>
      </x:c>
      <x:c r="D23" s="50" t="n">
        <x:v>0.001</x:v>
      </x:c>
      <x:c r="E23" s="50" t="n">
        <x:v>0.001</x:v>
      </x:c>
      <x:c r="F23" s="50" t="n">
        <x:v>0.001</x:v>
      </x:c>
    </x:row>
    <x:row r="24">
      <x:c r="A24" s="12" t="str">
        <x:v>Academy Average Price / Participant</x:v>
      </x:c>
      <x:c r="B24" s="42" t="n">
        <x:v>200000</x:v>
      </x:c>
      <x:c r="C24" s="42" t="n">
        <x:v>200000</x:v>
      </x:c>
      <x:c r="D24" s="42" t="n">
        <x:v>200000</x:v>
      </x:c>
      <x:c r="E24" s="42" t="n">
        <x:v>200000</x:v>
      </x:c>
      <x:c r="F24" s="42" t="n">
        <x:v>200000</x:v>
      </x:c>
    </x:row>
    <x:row r="25">
      <x:c r="A25" s="12" t="str">
        <x:v>Offline Trainings / Month</x:v>
      </x:c>
      <x:c r="B25" s="42" t="n">
        <x:v>7</x:v>
      </x:c>
      <x:c r="C25" s="42" t="n">
        <x:v>8</x:v>
      </x:c>
      <x:c r="D25" s="42" t="n">
        <x:v>10</x:v>
      </x:c>
      <x:c r="E25" s="42" t="n">
        <x:v>12</x:v>
      </x:c>
      <x:c r="F25" s="42" t="n">
        <x:v>15</x:v>
      </x:c>
    </x:row>
    <x:row r="26">
      <x:c r="A26" s="12" t="str">
        <x:v>Offline Training Fee / Cooperative</x:v>
      </x:c>
      <x:c r="B26" s="42" t="n">
        <x:v>2500000</x:v>
      </x:c>
      <x:c r="C26" s="42" t="n">
        <x:v>2500000</x:v>
      </x:c>
      <x:c r="D26" s="42" t="n">
        <x:v>2500000</x:v>
      </x:c>
      <x:c r="E26" s="42" t="n">
        <x:v>2500000</x:v>
      </x:c>
      <x:c r="F26" s="42" t="n">
        <x:v>2500000</x:v>
      </x:c>
    </x:row>
    <x:row r="27">
      <x:c r="A27" s="12" t="str">
        <x:v>Enterprise / Banking / API Revenue</x:v>
      </x:c>
      <x:c r="B27" s="42" t="n">
        <x:v>672000000</x:v>
      </x:c>
      <x:c r="C27" s="42" t="n">
        <x:v>669000000</x:v>
      </x:c>
      <x:c r="D27" s="42" t="n">
        <x:v>747000000</x:v>
      </x:c>
      <x:c r="E27" s="42" t="n">
        <x:v>3660000000</x:v>
      </x:c>
      <x:c r="F27" s="42" t="n">
        <x:v>10554000000</x:v>
      </x:c>
    </x:row>
    <x:row r="28">
      <x:c r="A28" s="12"/>
      <x:c r="B28" s="42"/>
      <x:c r="C28" s="42"/>
      <x:c r="D28" s="42"/>
      <x:c r="E28" s="42"/>
      <x:c r="F28" s="42"/>
    </x:row>
    <x:row r="29" ht="22" customHeight="1">
      <x:c r="A29" s="41" t="str">
        <x:v>Cost &amp; Margin Drivers</x:v>
      </x:c>
      <x:c r="B29" s="44"/>
      <x:c r="C29" s="44"/>
      <x:c r="D29" s="44"/>
      <x:c r="E29" s="44"/>
      <x:c r="F29" s="44"/>
    </x:row>
    <x:row r="30">
      <x:c r="A30" s="12" t="str">
        <x:v>Cloud Cost / Active Coop / Month</x:v>
      </x:c>
      <x:c r="B30" s="42" t="n">
        <x:v>80000</x:v>
      </x:c>
      <x:c r="C30" s="42" t="n">
        <x:v>80000</x:v>
      </x:c>
      <x:c r="D30" s="42" t="n">
        <x:v>70000</x:v>
      </x:c>
      <x:c r="E30" s="42" t="n">
        <x:v>60000</x:v>
      </x:c>
      <x:c r="F30" s="42" t="n">
        <x:v>50000</x:v>
      </x:c>
    </x:row>
    <x:row r="31">
      <x:c r="A31" s="12" t="str">
        <x:v>Implementation Cost / Paid Implementation Coop</x:v>
      </x:c>
      <x:c r="B31" s="42" t="n">
        <x:v>6000000</x:v>
      </x:c>
      <x:c r="C31" s="42" t="n">
        <x:v>6000000</x:v>
      </x:c>
      <x:c r="D31" s="42" t="n">
        <x:v>5500000</x:v>
      </x:c>
      <x:c r="E31" s="42" t="n">
        <x:v>5000000</x:v>
      </x:c>
      <x:c r="F31" s="42" t="n">
        <x:v>4500000</x:v>
      </x:c>
    </x:row>
    <x:row r="32">
      <x:c r="A32" s="12" t="str">
        <x:v>Support Cost / Active Coop / Month</x:v>
      </x:c>
      <x:c r="B32" s="42" t="n">
        <x:v>75000</x:v>
      </x:c>
      <x:c r="C32" s="42" t="n">
        <x:v>75000</x:v>
      </x:c>
      <x:c r="D32" s="42" t="n">
        <x:v>70000</x:v>
      </x:c>
      <x:c r="E32" s="42" t="n">
        <x:v>60000</x:v>
      </x:c>
      <x:c r="F32" s="42" t="n">
        <x:v>55000</x:v>
      </x:c>
    </x:row>
    <x:row r="33">
      <x:c r="A33" s="12" t="str">
        <x:v>Payment / API Variable Cost % of PPOB Revenue</x:v>
      </x:c>
      <x:c r="B33" s="50" t="n">
        <x:v>0.2</x:v>
      </x:c>
      <x:c r="C33" s="50" t="n">
        <x:v>0.2</x:v>
      </x:c>
      <x:c r="D33" s="50" t="n">
        <x:v>0.18</x:v>
      </x:c>
      <x:c r="E33" s="50" t="n">
        <x:v>0.16</x:v>
      </x:c>
      <x:c r="F33" s="50" t="n">
        <x:v>0.15</x:v>
      </x:c>
    </x:row>
    <x:row r="34">
      <x:c r="A34" s="12" t="str">
        <x:v>Other Cost of Revenue %</x:v>
      </x:c>
      <x:c r="B34" s="50" t="n">
        <x:v>0.08</x:v>
      </x:c>
      <x:c r="C34" s="50" t="n">
        <x:v>0.08</x:v>
      </x:c>
      <x:c r="D34" s="50" t="n">
        <x:v>0.07</x:v>
      </x:c>
      <x:c r="E34" s="50" t="n">
        <x:v>0.06</x:v>
      </x:c>
      <x:c r="F34" s="50" t="n">
        <x:v>0.05</x:v>
      </x:c>
    </x:row>
    <x:row r="35">
      <x:c r="A35" s="12"/>
      <x:c r="B35" s="42"/>
      <x:c r="C35" s="42"/>
      <x:c r="D35" s="42"/>
      <x:c r="E35" s="42"/>
      <x:c r="F35" s="42"/>
    </x:row>
    <x:row r="36" ht="22" customHeight="1">
      <x:c r="A36" s="41" t="str">
        <x:v>Fundraising &amp; Valuation</x:v>
      </x:c>
      <x:c r="B36" s="44"/>
      <x:c r="C36" s="44"/>
      <x:c r="D36" s="44"/>
      <x:c r="E36" s="44"/>
      <x:c r="F36" s="44"/>
    </x:row>
    <x:row r="37">
      <x:c r="A37" s="12" t="str">
        <x:v>Seed Investment</x:v>
      </x:c>
      <x:c r="B37" s="42" t="n">
        <x:v>8250000000</x:v>
      </x:c>
      <x:c r="C37" s="42" t="n">
        <x:v>8250000000</x:v>
      </x:c>
      <x:c r="D37" s="42" t="n">
        <x:v>8250000000</x:v>
      </x:c>
      <x:c r="E37" s="42" t="n">
        <x:v>8250000000</x:v>
      </x:c>
      <x:c r="F37" s="42" t="n">
        <x:v>8250000000</x:v>
      </x:c>
    </x:row>
    <x:row r="38">
      <x:c r="A38" s="12" t="str">
        <x:v>Pre-Money Valuation</x:v>
      </x:c>
      <x:c r="B38" s="42" t="n">
        <x:v>46200000000</x:v>
      </x:c>
      <x:c r="C38" s="42" t="n">
        <x:v>46200000000</x:v>
      </x:c>
      <x:c r="D38" s="42" t="n">
        <x:v>46200000000</x:v>
      </x:c>
      <x:c r="E38" s="42" t="n">
        <x:v>46200000000</x:v>
      </x:c>
      <x:c r="F38" s="42" t="n">
        <x:v>46200000000</x:v>
      </x:c>
    </x:row>
    <x:row r="39">
      <x:c r="A39" s="12" t="str">
        <x:v>Exit Revenue Multiple - Conservative</x:v>
      </x:c>
      <x:c r="B39" s="54" t="n">
        <x:v>3</x:v>
      </x:c>
      <x:c r="C39" s="54" t="n">
        <x:v>3</x:v>
      </x:c>
      <x:c r="D39" s="54" t="n">
        <x:v>3</x:v>
      </x:c>
      <x:c r="E39" s="54" t="n">
        <x:v>3</x:v>
      </x:c>
      <x:c r="F39" s="54" t="n">
        <x:v>3</x:v>
      </x:c>
    </x:row>
    <x:row r="40">
      <x:c r="A40" s="12" t="str">
        <x:v>Exit Revenue Multiple - Base Case</x:v>
      </x:c>
      <x:c r="B40" s="54" t="n">
        <x:v>5</x:v>
      </x:c>
      <x:c r="C40" s="54" t="n">
        <x:v>5</x:v>
      </x:c>
      <x:c r="D40" s="54" t="n">
        <x:v>5</x:v>
      </x:c>
      <x:c r="E40" s="54" t="n">
        <x:v>5</x:v>
      </x:c>
      <x:c r="F40" s="54" t="n">
        <x:v>5</x:v>
      </x:c>
    </x:row>
    <x:row r="41">
      <x:c r="A41" s="12" t="str">
        <x:v>Exit Revenue Multiple - Optimistic</x:v>
      </x:c>
      <x:c r="B41" s="54" t="n">
        <x:v>7</x:v>
      </x:c>
      <x:c r="C41" s="54" t="n">
        <x:v>7</x:v>
      </x:c>
      <x:c r="D41" s="54" t="n">
        <x:v>7</x:v>
      </x:c>
      <x:c r="E41" s="54" t="n">
        <x:v>7</x:v>
      </x:c>
      <x:c r="F41" s="54" t="n">
        <x:v>7</x:v>
      </x:c>
    </x:row>
  </x:sheetData>
  <x:mergeCells>
    <x:mergeCell ref="A1:F1"/>
    <x:mergeCell ref="A5:F5"/>
    <x:mergeCell ref="A12:F12"/>
    <x:mergeCell ref="A29:F29"/>
    <x:mergeCell ref="A36:F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03. Customer Growth Model</x:v>
      </x:c>
      <x:c r="B1" s="88"/>
      <x:c r="C1" s="88"/>
      <x:c r="D1" s="88"/>
      <x:c r="E1" s="88"/>
      <x:c r="F1" s="88"/>
      <x:c r="G1" s="90"/>
      <x:c r="H1" s="90"/>
    </x:row>
    <x:row r="3">
      <x:c r="A3" s="17" t="str">
        <x:v>Metric / Driver</x:v>
      </x:c>
      <x:c r="B3" s="17" t="n">
        <x:v>2025</x:v>
      </x:c>
      <x:c r="C3" s="17" t="n">
        <x:v>2026</x:v>
      </x:c>
      <x:c r="D3" s="17" t="n">
        <x:v>2027</x:v>
      </x:c>
      <x:c r="E3" s="17" t="n">
        <x:v>2028</x:v>
      </x:c>
      <x:c r="F3" s="17" t="n">
        <x:v>2029</x:v>
      </x:c>
    </x:row>
    <x:row r="5">
      <x:c r="A5" s="58" t="str">
        <x:v>Beginning Active Cooperatives</x:v>
      </x:c>
      <x:c r="B5" s="56" t="n">
        <x:f>'02_Assumptions'!B6</x:f>
        <x:v>215</x:v>
      </x:c>
      <x:c r="C5" s="56" t="n">
        <x:f>'02_Assumptions'!C6</x:f>
        <x:v>246</x:v>
      </x:c>
      <x:c r="D5" s="56" t="n">
        <x:f>'02_Assumptions'!D6</x:f>
        <x:v>276</x:v>
      </x:c>
      <x:c r="E5" s="56" t="n">
        <x:f>'02_Assumptions'!E6</x:f>
        <x:v>520</x:v>
      </x:c>
      <x:c r="F5" s="56" t="n">
        <x:f>'02_Assumptions'!F6</x:f>
        <x:v>912</x:v>
      </x:c>
    </x:row>
    <x:row r="6">
      <x:c r="A6" s="58" t="str">
        <x:v>New Cooperatives Acquired</x:v>
      </x:c>
      <x:c r="B6" s="56" t="n">
        <x:f>'02_Assumptions'!B7</x:f>
        <x:v>35</x:v>
      </x:c>
      <x:c r="C6" s="56" t="n">
        <x:f>'02_Assumptions'!C7</x:f>
        <x:v>35</x:v>
      </x:c>
      <x:c r="D6" s="56" t="n">
        <x:f>'02_Assumptions'!D7</x:f>
        <x:v>250</x:v>
      </x:c>
      <x:c r="E6" s="56" t="n">
        <x:f>'02_Assumptions'!E7</x:f>
        <x:v>400</x:v>
      </x:c>
      <x:c r="F6" s="56" t="n">
        <x:f>'02_Assumptions'!F7</x:f>
        <x:v>500</x:v>
      </x:c>
    </x:row>
    <x:row r="7">
      <x:c r="A7" s="58" t="str">
        <x:v>Churned Cooperatives</x:v>
      </x:c>
      <x:c r="B7" s="56" t="n">
        <x:f>ROUND(B5*'02_Assumptions'!B8,0)</x:f>
        <x:v>4</x:v>
      </x:c>
      <x:c r="C7" s="56" t="n">
        <x:f>ROUND(C5*'02_Assumptions'!C8,0)</x:f>
        <x:v>5</x:v>
      </x:c>
      <x:c r="D7" s="56" t="n">
        <x:f>ROUND(D5*'02_Assumptions'!D8,0)</x:f>
        <x:v>6</x:v>
      </x:c>
      <x:c r="E7" s="56" t="n">
        <x:f>ROUND(E5*'02_Assumptions'!E8,0)</x:f>
        <x:v>8</x:v>
      </x:c>
      <x:c r="F7" s="56" t="n">
        <x:f>ROUND(F5*'02_Assumptions'!F8,0)</x:f>
        <x:v>9</x:v>
      </x:c>
    </x:row>
    <x:row r="8">
      <x:c r="A8" s="58" t="str">
        <x:v>Ending Active Cooperatives</x:v>
      </x:c>
      <x:c r="B8" s="56" t="n">
        <x:f>B5+B6-B7</x:f>
        <x:v>246</x:v>
      </x:c>
      <x:c r="C8" s="56" t="n">
        <x:f>C5+C6-C7</x:f>
        <x:v>276</x:v>
      </x:c>
      <x:c r="D8" s="56" t="n">
        <x:f>D5+D6-D7</x:f>
        <x:v>520</x:v>
      </x:c>
      <x:c r="E8" s="56" t="n">
        <x:f>E5+E6-E7</x:f>
        <x:v>912</x:v>
      </x:c>
      <x:c r="F8" s="56" t="n">
        <x:f>F5+F6-F7</x:f>
        <x:v>1403</x:v>
      </x:c>
    </x:row>
    <x:row r="9">
      <x:c r="A9" s="58" t="str">
        <x:v>Average Members / Cooperative</x:v>
      </x:c>
      <x:c r="B9" s="56" t="n">
        <x:f>'02_Assumptions'!B9</x:f>
        <x:v>711</x:v>
      </x:c>
      <x:c r="C9" s="56" t="n">
        <x:f>'02_Assumptions'!C9</x:f>
        <x:v>700</x:v>
      </x:c>
      <x:c r="D9" s="56" t="n">
        <x:f>'02_Assumptions'!D9</x:f>
        <x:v>410</x:v>
      </x:c>
      <x:c r="E9" s="56" t="n">
        <x:f>'02_Assumptions'!E9</x:f>
        <x:v>480</x:v>
      </x:c>
      <x:c r="F9" s="56" t="n">
        <x:f>'02_Assumptions'!F9</x:f>
        <x:v>536</x:v>
      </x:c>
    </x:row>
    <x:row r="10">
      <x:c r="A10" s="58" t="str">
        <x:v>Total Cooperative Members</x:v>
      </x:c>
      <x:c r="B10" s="56" t="n">
        <x:f>B8*B9</x:f>
        <x:v>174906</x:v>
      </x:c>
      <x:c r="C10" s="56" t="n">
        <x:f>C8*C9</x:f>
        <x:v>193200</x:v>
      </x:c>
      <x:c r="D10" s="56" t="n">
        <x:f>D8*D9</x:f>
        <x:v>213200</x:v>
      </x:c>
      <x:c r="E10" s="56" t="n">
        <x:f>E8*E9</x:f>
        <x:v>437760</x:v>
      </x:c>
      <x:c r="F10" s="56" t="n">
        <x:f>F8*F9</x:f>
        <x:v>752008</x:v>
      </x:c>
    </x:row>
    <x:row r="11">
      <x:c r="A11" s="58" t="str">
        <x:v>YoY Active Coop Growth</x:v>
      </x:c>
      <x:c r="B11" s="56" t="str">
        <x:v>-</x:v>
      </x:c>
      <x:c r="C11" s="60" t="n">
        <x:f>IF(B8=0,0,C8/B8-1)</x:f>
        <x:v>0.12195121951219523</x:v>
      </x:c>
      <x:c r="D11" s="60" t="n">
        <x:f>IF(C8=0,0,D8/C8-1)</x:f>
        <x:v>0.8840579710144927</x:v>
      </x:c>
      <x:c r="E11" s="60" t="n">
        <x:f>IF(D8=0,0,E8/D8-1)</x:f>
        <x:v>0.7538461538461538</x:v>
      </x:c>
      <x:c r="F11" s="60" t="n">
        <x:f>IF(E8=0,0,F8/E8-1)</x:f>
        <x:v>0.5383771929824561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04. Revenue Engine</x:v>
      </x:c>
      <x:c r="B1" s="88"/>
      <x:c r="C1" s="88"/>
      <x:c r="D1" s="88"/>
      <x:c r="E1" s="88"/>
      <x:c r="F1" s="88"/>
      <x:c r="G1" s="90"/>
      <x:c r="H1" s="90"/>
    </x:row>
    <x:row r="3">
      <x:c r="A3" s="17" t="str">
        <x:v>Metric / Driver</x:v>
      </x:c>
      <x:c r="B3" s="17" t="n">
        <x:v>2025</x:v>
      </x:c>
      <x:c r="C3" s="17" t="n">
        <x:v>2026</x:v>
      </x:c>
      <x:c r="D3" s="17" t="n">
        <x:v>2027</x:v>
      </x:c>
      <x:c r="E3" s="17" t="n">
        <x:v>2028</x:v>
      </x:c>
      <x:c r="F3" s="17" t="n">
        <x:v>2029</x:v>
      </x:c>
    </x:row>
    <x:row r="5">
      <x:c r="A5" t="str">
        <x:v>Setup / Implementation Revenue</x:v>
      </x:c>
      <x:c r="B5" s="56" t="n">
        <x:f>'02_Assumptions'!B14*'02_Assumptions'!B13</x:f>
        <x:v>1000000000</x:v>
      </x:c>
      <x:c r="C5" s="56" t="n">
        <x:f>'02_Assumptions'!C14*'02_Assumptions'!C13</x:f>
        <x:v>1200000000</x:v>
      </x:c>
      <x:c r="D5" s="56" t="n">
        <x:f>'02_Assumptions'!D14*'02_Assumptions'!D13</x:f>
        <x:v>5200000000</x:v>
      </x:c>
      <x:c r="E5" s="56" t="n">
        <x:f>'02_Assumptions'!E14*'02_Assumptions'!E13</x:f>
        <x:v>7200000000</x:v>
      </x:c>
      <x:c r="F5" s="56" t="n">
        <x:f>'02_Assumptions'!F14*'02_Assumptions'!F13</x:f>
        <x:v>10400000000</x:v>
      </x:c>
    </x:row>
    <x:row r="6">
      <x:c r="A6" t="str">
        <x:v>SaaS Subscription Revenue</x:v>
      </x:c>
      <x:c r="B6" s="56" t="n">
        <x:f>'03_Customer_Growth'!B8*'02_Assumptions'!B10*'02_Assumptions'!B15*12</x:f>
        <x:v>1476000000</x:v>
      </x:c>
      <x:c r="C6" s="56" t="n">
        <x:f>'03_Customer_Growth'!C8*'02_Assumptions'!C10*'02_Assumptions'!C15*12</x:f>
        <x:v>1656000000</x:v>
      </x:c>
      <x:c r="D6" s="56" t="n">
        <x:f>'03_Customer_Growth'!D8*'02_Assumptions'!D10*'02_Assumptions'!D15*12</x:f>
        <x:v>3120000000</x:v>
      </x:c>
      <x:c r="E6" s="56" t="n">
        <x:f>'03_Customer_Growth'!E8*'02_Assumptions'!E10*'02_Assumptions'!E15*12</x:f>
        <x:v>5472000000</x:v>
      </x:c>
      <x:c r="F6" s="56" t="n">
        <x:f>'03_Customer_Growth'!F8*'02_Assumptions'!F10*'02_Assumptions'!F15*12</x:f>
        <x:v>8418000000</x:v>
      </x:c>
    </x:row>
    <x:row r="7">
      <x:c r="A7" t="str">
        <x:v>iOS Add-on Revenue</x:v>
      </x:c>
      <x:c r="B7" s="56" t="n">
        <x:f>'03_Customer_Growth'!B8*'02_Assumptions'!B17*'02_Assumptions'!B16*12</x:f>
        <x:v>236160000</x:v>
      </x:c>
      <x:c r="C7" s="56" t="n">
        <x:f>'03_Customer_Growth'!C8*'02_Assumptions'!C17*'02_Assumptions'!C16*12</x:f>
        <x:v>264960000</x:v>
      </x:c>
      <x:c r="D7" s="56" t="n">
        <x:f>'03_Customer_Growth'!D8*'02_Assumptions'!D17*'02_Assumptions'!D16*12</x:f>
        <x:v>499200000</x:v>
      </x:c>
      <x:c r="E7" s="56" t="n">
        <x:f>'03_Customer_Growth'!E8*'02_Assumptions'!E17*'02_Assumptions'!E16*12</x:f>
        <x:v>875520000</x:v>
      </x:c>
      <x:c r="F7" s="56" t="n">
        <x:f>'03_Customer_Growth'!F8*'02_Assumptions'!F17*'02_Assumptions'!F16*12</x:f>
        <x:v>1346880000.0000002</x:v>
      </x:c>
    </x:row>
    <x:row r="8">
      <x:c r="A8" t="str">
        <x:v>White Label Revenue</x:v>
      </x:c>
      <x:c r="B8" s="56" t="n">
        <x:f>'02_Assumptions'!B18*'02_Assumptions'!B19</x:f>
        <x:v>60000000</x:v>
      </x:c>
      <x:c r="C8" s="56" t="n">
        <x:f>'02_Assumptions'!C18*'02_Assumptions'!C19</x:f>
        <x:v>80000000</x:v>
      </x:c>
      <x:c r="D8" s="56" t="n">
        <x:f>'02_Assumptions'!D18*'02_Assumptions'!D19</x:f>
        <x:v>160000000</x:v>
      </x:c>
      <x:c r="E8" s="56" t="n">
        <x:f>'02_Assumptions'!E18*'02_Assumptions'!E19</x:f>
        <x:v>300000000</x:v>
      </x:c>
      <x:c r="F8" s="56" t="n">
        <x:f>'02_Assumptions'!F18*'02_Assumptions'!F19</x:f>
        <x:v>500000000</x:v>
      </x:c>
    </x:row>
    <x:row r="9">
      <x:c r="A9" t="str">
        <x:v>PPOB Transaction Revenue</x:v>
      </x:c>
      <x:c r="B9" s="56" t="n">
        <x:f>'03_Customer_Growth'!B8*'02_Assumptions'!B20*'02_Assumptions'!B21*12*'02_Assumptions'!B22</x:f>
        <x:v>35424000</x:v>
      </x:c>
      <x:c r="C9" s="56" t="n">
        <x:f>'03_Customer_Growth'!C8*'02_Assumptions'!C20*'02_Assumptions'!C21*12*'02_Assumptions'!C22</x:f>
        <x:v>39744000</x:v>
      </x:c>
      <x:c r="D9" s="56" t="n">
        <x:f>'03_Customer_Growth'!D8*'02_Assumptions'!D20*'02_Assumptions'!D21*12*'02_Assumptions'!D22</x:f>
        <x:v>74880000</x:v>
      </x:c>
      <x:c r="E9" s="56" t="n">
        <x:f>'03_Customer_Growth'!E8*'02_Assumptions'!E20*'02_Assumptions'!E21*12*'02_Assumptions'!E22</x:f>
        <x:v>142272000.00000003</x:v>
      </x:c>
      <x:c r="F9" s="56" t="n">
        <x:f>'03_Customer_Growth'!F8*'02_Assumptions'!F20*'02_Assumptions'!F21*12*'02_Assumptions'!F22</x:f>
        <x:v>235704000</x:v>
      </x:c>
    </x:row>
    <x:row r="10">
      <x:c r="A10" t="str">
        <x:v>Smartcoop Academy Revenue</x:v>
      </x:c>
      <x:c r="B10" s="56" t="n">
        <x:f>'03_Customer_Growth'!B10*'02_Assumptions'!B23*'02_Assumptions'!B24</x:f>
        <x:v>34981200</x:v>
      </x:c>
      <x:c r="C10" s="56" t="n">
        <x:f>'03_Customer_Growth'!C10*'02_Assumptions'!C23*'02_Assumptions'!C24</x:f>
        <x:v>38640000</x:v>
      </x:c>
      <x:c r="D10" s="56" t="n">
        <x:f>'03_Customer_Growth'!D10*'02_Assumptions'!D23*'02_Assumptions'!D24</x:f>
        <x:v>42640000</x:v>
      </x:c>
      <x:c r="E10" s="56" t="n">
        <x:f>'03_Customer_Growth'!E10*'02_Assumptions'!E23*'02_Assumptions'!E24</x:f>
        <x:v>87552000</x:v>
      </x:c>
      <x:c r="F10" s="56" t="n">
        <x:f>'03_Customer_Growth'!F10*'02_Assumptions'!F23*'02_Assumptions'!F24</x:f>
        <x:v>150401600</x:v>
      </x:c>
    </x:row>
    <x:row r="11">
      <x:c r="A11" t="str">
        <x:v>Offline Training Revenue</x:v>
      </x:c>
      <x:c r="B11" s="56" t="n">
        <x:f>'02_Assumptions'!B25*12*'02_Assumptions'!B26</x:f>
        <x:v>210000000</x:v>
      </x:c>
      <x:c r="C11" s="56" t="n">
        <x:f>'02_Assumptions'!C25*12*'02_Assumptions'!C26</x:f>
        <x:v>240000000</x:v>
      </x:c>
      <x:c r="D11" s="56" t="n">
        <x:f>'02_Assumptions'!D25*12*'02_Assumptions'!D26</x:f>
        <x:v>300000000</x:v>
      </x:c>
      <x:c r="E11" s="56" t="n">
        <x:f>'02_Assumptions'!E25*12*'02_Assumptions'!E26</x:f>
        <x:v>360000000</x:v>
      </x:c>
      <x:c r="F11" s="56" t="n">
        <x:f>'02_Assumptions'!F25*12*'02_Assumptions'!F26</x:f>
        <x:v>450000000</x:v>
      </x:c>
    </x:row>
    <x:row r="12">
      <x:c r="A12" t="str">
        <x:v>Enterprise / Banking / API Revenue</x:v>
      </x:c>
      <x:c r="B12" s="56" t="n">
        <x:f>'02_Assumptions'!B27</x:f>
        <x:v>672000000</x:v>
      </x:c>
      <x:c r="C12" s="56" t="n">
        <x:f>'02_Assumptions'!C27</x:f>
        <x:v>669000000</x:v>
      </x:c>
      <x:c r="D12" s="56" t="n">
        <x:f>'02_Assumptions'!D27</x:f>
        <x:v>747000000</x:v>
      </x:c>
      <x:c r="E12" s="56" t="n">
        <x:f>'02_Assumptions'!E27</x:f>
        <x:v>3660000000</x:v>
      </x:c>
      <x:c r="F12" s="56" t="n">
        <x:f>'02_Assumptions'!F27</x:f>
        <x:v>10554000000</x:v>
      </x:c>
    </x:row>
    <x:row r="13">
      <x:c r="A13" s="63" t="str">
        <x:v>Total Revenue</x:v>
      </x:c>
      <x:c r="B13" s="64" t="n">
        <x:f>SUM(B5:B12)</x:f>
        <x:v>3724565200</x:v>
      </x:c>
      <x:c r="C13" s="64" t="n">
        <x:f>SUM(C5:C12)</x:f>
        <x:v>4188344000</x:v>
      </x:c>
      <x:c r="D13" s="64" t="n">
        <x:f>SUM(D5:D12)</x:f>
        <x:v>10143720000</x:v>
      </x:c>
      <x:c r="E13" s="64" t="n">
        <x:f>SUM(E5:E12)</x:f>
        <x:v>18097344000</x:v>
      </x:c>
      <x:c r="F13" s="64" t="n">
        <x:f>SUM(F5:F12)</x:f>
        <x:v>32054985600</x:v>
      </x:c>
    </x:row>
    <x:row r="14">
      <x:c r="A14" t="str">
        <x:v>ARR / Recurring SaaS Run-Rate</x:v>
      </x:c>
      <x:c r="B14" s="56" t="n">
        <x:f>B6+B7</x:f>
        <x:v>1712160000</x:v>
      </x:c>
      <x:c r="C14" s="56" t="n">
        <x:f>C6+C7</x:f>
        <x:v>1920960000</x:v>
      </x:c>
      <x:c r="D14" s="56" t="n">
        <x:f>D6+D7</x:f>
        <x:v>3619200000</x:v>
      </x:c>
      <x:c r="E14" s="56" t="n">
        <x:f>E6+E7</x:f>
        <x:v>6347520000</x:v>
      </x:c>
      <x:c r="F14" s="56" t="n">
        <x:f>F6+F7</x:f>
        <x:v>9764880000</x:v>
      </x:c>
    </x:row>
    <x:row r="15">
      <x:c r="A15" t="str">
        <x:v>ARPU / Active Coop</x:v>
      </x:c>
      <x:c r="B15" s="56" t="n">
        <x:f>IF('03_Customer_Growth'!B8=0,0,B13/'03_Customer_Growth'!B8)</x:f>
        <x:v>15140508.943089431</x:v>
      </x:c>
      <x:c r="C15" s="56" t="n">
        <x:f>IF('03_Customer_Growth'!C8=0,0,C13/'03_Customer_Growth'!C8)</x:f>
        <x:v>15175159.420289855</x:v>
      </x:c>
      <x:c r="D15" s="56" t="n">
        <x:f>IF('03_Customer_Growth'!D8=0,0,D13/'03_Customer_Growth'!D8)</x:f>
        <x:v>19507153.846153848</x:v>
      </x:c>
      <x:c r="E15" s="56" t="n">
        <x:f>IF('03_Customer_Growth'!E8=0,0,E13/'03_Customer_Growth'!E8)</x:f>
        <x:v>19843578.94736842</x:v>
      </x:c>
      <x:c r="F15" s="56" t="n">
        <x:f>IF('03_Customer_Growth'!F8=0,0,F13/'03_Customer_Growth'!F8)</x:f>
        <x:v>22847459.444048468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05. Cost of Revenue (COGS)</x:v>
      </x:c>
      <x:c r="B1" s="88"/>
      <x:c r="C1" s="88"/>
      <x:c r="D1" s="88"/>
      <x:c r="E1" s="88"/>
      <x:c r="F1" s="88"/>
      <x:c r="G1" s="90"/>
      <x:c r="H1" s="90"/>
    </x:row>
    <x:row r="3">
      <x:c r="A3" s="17" t="str">
        <x:v>Metric / Driver</x:v>
      </x:c>
      <x:c r="B3" s="17" t="n">
        <x:v>2025</x:v>
      </x:c>
      <x:c r="C3" s="17" t="n">
        <x:v>2026</x:v>
      </x:c>
      <x:c r="D3" s="17" t="n">
        <x:v>2027</x:v>
      </x:c>
      <x:c r="E3" s="17" t="n">
        <x:v>2028</x:v>
      </x:c>
      <x:c r="F3" s="17" t="n">
        <x:v>2029</x:v>
      </x:c>
    </x:row>
    <x:row r="5">
      <x:c r="A5" t="str">
        <x:v>Cloud Infrastructure</x:v>
      </x:c>
      <x:c r="B5" s="56" t="n">
        <x:f>'03_Customer_Growth'!B8*'02_Assumptions'!B30*12</x:f>
        <x:v>236160000</x:v>
      </x:c>
      <x:c r="C5" s="56" t="n">
        <x:f>'03_Customer_Growth'!C8*'02_Assumptions'!C30*12</x:f>
        <x:v>264960000</x:v>
      </x:c>
      <x:c r="D5" s="56" t="n">
        <x:f>'03_Customer_Growth'!D8*'02_Assumptions'!D30*12</x:f>
        <x:v>436800000</x:v>
      </x:c>
      <x:c r="E5" s="56" t="n">
        <x:f>'03_Customer_Growth'!E8*'02_Assumptions'!E30*12</x:f>
        <x:v>656640000</x:v>
      </x:c>
      <x:c r="F5" s="56" t="n">
        <x:f>'03_Customer_Growth'!F8*'02_Assumptions'!F30*12</x:f>
        <x:v>841800000</x:v>
      </x:c>
    </x:row>
    <x:row r="6">
      <x:c r="A6" t="str">
        <x:v>Implementation / Onboarding Cost</x:v>
      </x:c>
      <x:c r="B6" s="56" t="n">
        <x:f>'02_Assumptions'!B14*'02_Assumptions'!B31</x:f>
        <x:v>150000000</x:v>
      </x:c>
      <x:c r="C6" s="56" t="n">
        <x:f>'02_Assumptions'!C14*'02_Assumptions'!C31</x:f>
        <x:v>180000000</x:v>
      </x:c>
      <x:c r="D6" s="56" t="n">
        <x:f>'02_Assumptions'!D14*'02_Assumptions'!D31</x:f>
        <x:v>715000000</x:v>
      </x:c>
      <x:c r="E6" s="56" t="n">
        <x:f>'02_Assumptions'!E14*'02_Assumptions'!E31</x:f>
        <x:v>900000000</x:v>
      </x:c>
      <x:c r="F6" s="56" t="n">
        <x:f>'02_Assumptions'!F14*'02_Assumptions'!F31</x:f>
        <x:v>1170000000</x:v>
      </x:c>
    </x:row>
    <x:row r="7">
      <x:c r="A7" t="str">
        <x:v>Customer Support Cost</x:v>
      </x:c>
      <x:c r="B7" s="56" t="n">
        <x:f>'03_Customer_Growth'!B8*'02_Assumptions'!B32*12</x:f>
        <x:v>221400000</x:v>
      </x:c>
      <x:c r="C7" s="56" t="n">
        <x:f>'03_Customer_Growth'!C8*'02_Assumptions'!C32*12</x:f>
        <x:v>248400000</x:v>
      </x:c>
      <x:c r="D7" s="56" t="n">
        <x:f>'03_Customer_Growth'!D8*'02_Assumptions'!D32*12</x:f>
        <x:v>436800000</x:v>
      </x:c>
      <x:c r="E7" s="56" t="n">
        <x:f>'03_Customer_Growth'!E8*'02_Assumptions'!E32*12</x:f>
        <x:v>656640000</x:v>
      </x:c>
      <x:c r="F7" s="56" t="n">
        <x:f>'03_Customer_Growth'!F8*'02_Assumptions'!F32*12</x:f>
        <x:v>925980000</x:v>
      </x:c>
    </x:row>
    <x:row r="8">
      <x:c r="A8" t="str">
        <x:v>Payment / API Variable Cost</x:v>
      </x:c>
      <x:c r="B8" s="56" t="n">
        <x:f>'04_Revenue_Engine'!B9*'02_Assumptions'!B33</x:f>
        <x:v>7084800</x:v>
      </x:c>
      <x:c r="C8" s="56" t="n">
        <x:f>'04_Revenue_Engine'!C9*'02_Assumptions'!C33</x:f>
        <x:v>7948800</x:v>
      </x:c>
      <x:c r="D8" s="56" t="n">
        <x:f>'04_Revenue_Engine'!D9*'02_Assumptions'!D33</x:f>
        <x:v>13478400</x:v>
      </x:c>
      <x:c r="E8" s="56" t="n">
        <x:f>'04_Revenue_Engine'!E9*'02_Assumptions'!E33</x:f>
        <x:v>22763520.000000004</x:v>
      </x:c>
      <x:c r="F8" s="56" t="n">
        <x:f>'04_Revenue_Engine'!F9*'02_Assumptions'!F33</x:f>
        <x:v>35355600</x:v>
      </x:c>
    </x:row>
    <x:row r="9">
      <x:c r="A9" t="str">
        <x:v>Other Cost of Revenue</x:v>
      </x:c>
      <x:c r="B9" s="56" t="n">
        <x:f>'04_Revenue_Engine'!B13*'02_Assumptions'!B34</x:f>
        <x:v>297965216</x:v>
      </x:c>
      <x:c r="C9" s="56" t="n">
        <x:f>'04_Revenue_Engine'!C13*'02_Assumptions'!C34</x:f>
        <x:v>335067520</x:v>
      </x:c>
      <x:c r="D9" s="56" t="n">
        <x:f>'04_Revenue_Engine'!D13*'02_Assumptions'!D34</x:f>
        <x:v>710060400.0000001</x:v>
      </x:c>
      <x:c r="E9" s="56" t="n">
        <x:f>'04_Revenue_Engine'!E13*'02_Assumptions'!E34</x:f>
        <x:v>1085840640</x:v>
      </x:c>
      <x:c r="F9" s="56" t="n">
        <x:f>'04_Revenue_Engine'!F13*'02_Assumptions'!F34</x:f>
        <x:v>1602749280</x:v>
      </x:c>
    </x:row>
    <x:row r="10">
      <x:c r="A10" s="63" t="str">
        <x:v>Total COGS</x:v>
      </x:c>
      <x:c r="B10" s="64" t="n">
        <x:f>SUM(B5:B9)</x:f>
        <x:v>912610016</x:v>
      </x:c>
      <x:c r="C10" s="64" t="n">
        <x:f>SUM(C5:C9)</x:f>
        <x:v>1036376320</x:v>
      </x:c>
      <x:c r="D10" s="64" t="n">
        <x:f>SUM(D5:D9)</x:f>
        <x:v>2312138800</x:v>
      </x:c>
      <x:c r="E10" s="64" t="n">
        <x:f>SUM(E5:E9)</x:f>
        <x:v>3321884160</x:v>
      </x:c>
      <x:c r="F10" s="64" t="n">
        <x:f>SUM(F5:F9)</x:f>
        <x:v>4575884880</x:v>
      </x:c>
    </x:row>
    <x:row r="11">
      <x:c r="A11" s="63" t="str">
        <x:v>Gross Profit</x:v>
      </x:c>
      <x:c r="B11" s="64" t="n">
        <x:f>'04_Revenue_Engine'!B13-B10</x:f>
        <x:v>2811955184</x:v>
      </x:c>
      <x:c r="C11" s="64" t="n">
        <x:f>'04_Revenue_Engine'!C13-C10</x:f>
        <x:v>3151967680</x:v>
      </x:c>
      <x:c r="D11" s="64" t="n">
        <x:f>'04_Revenue_Engine'!D13-D10</x:f>
        <x:v>7831581200</x:v>
      </x:c>
      <x:c r="E11" s="64" t="n">
        <x:f>'04_Revenue_Engine'!E13-E10</x:f>
        <x:v>14775459840</x:v>
      </x:c>
      <x:c r="F11" s="64" t="n">
        <x:f>'04_Revenue_Engine'!F13-F10</x:f>
        <x:v>27479100720</x:v>
      </x:c>
    </x:row>
    <x:row r="12">
      <x:c r="A12" t="str">
        <x:v>Gross Margin</x:v>
      </x:c>
      <x:c r="B12" s="60" t="n">
        <x:f>IF('04_Revenue_Engine'!B13=0,0,B11/'04_Revenue_Engine'!B13)</x:f>
        <x:v>0.7549754220975914</x:v>
      </x:c>
      <x:c r="C12" s="60" t="n">
        <x:f>IF('04_Revenue_Engine'!C13=0,0,C11/'04_Revenue_Engine'!C13)</x:f>
        <x:v>0.7525570201492523</x:v>
      </x:c>
      <x:c r="D12" s="60" t="n">
        <x:f>IF('04_Revenue_Engine'!D13=0,0,D11/'04_Revenue_Engine'!D13)</x:f>
        <x:v>0.77206204429933</x:v>
      </x:c>
      <x:c r="E12" s="60" t="n">
        <x:f>IF('04_Revenue_Engine'!E13=0,0,E11/'04_Revenue_Engine'!E13)</x:f>
        <x:v>0.8164435532639486</x:v>
      </x:c>
      <x:c r="F12" s="60" t="n">
        <x:f>IF('04_Revenue_Engine'!F13=0,0,F11/'04_Revenue_Engine'!F13)</x:f>
        <x:v>0.8572488867379182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06. HR Planning</x:v>
      </x:c>
      <x:c r="B1" s="88"/>
      <x:c r="C1" s="88"/>
      <x:c r="D1" s="88"/>
      <x:c r="E1" s="88"/>
      <x:c r="F1" s="88"/>
      <x:c r="G1" s="90"/>
      <x:c r="H1" s="90"/>
    </x:row>
    <x:row r="3">
      <x:c r="A3" s="17" t="str">
        <x:v>Metric / Driver</x:v>
      </x:c>
      <x:c r="B3" s="17" t="n">
        <x:v>2025</x:v>
      </x:c>
      <x:c r="C3" s="17" t="n">
        <x:v>2026</x:v>
      </x:c>
      <x:c r="D3" s="17" t="n">
        <x:v>2027</x:v>
      </x:c>
      <x:c r="E3" s="17" t="n">
        <x:v>2028</x:v>
      </x:c>
      <x:c r="F3" s="17" t="n">
        <x:v>2029</x:v>
      </x:c>
    </x:row>
    <x:row r="5">
      <x:c r="A5" t="str">
        <x:v>Engineering / Product FTE</x:v>
      </x:c>
      <x:c r="B5" s="30" t="n">
        <x:v>5</x:v>
      </x:c>
      <x:c r="C5" s="30" t="n">
        <x:v>6</x:v>
      </x:c>
      <x:c r="D5" s="30" t="n">
        <x:v>8</x:v>
      </x:c>
      <x:c r="E5" s="30" t="n">
        <x:v>11</x:v>
      </x:c>
      <x:c r="F5" s="30" t="n">
        <x:v>15</x:v>
      </x:c>
    </x:row>
    <x:row r="6">
      <x:c r="A6" t="str">
        <x:v>Sales &amp; Partnership FTE</x:v>
      </x:c>
      <x:c r="B6" s="30" t="n">
        <x:v>3</x:v>
      </x:c>
      <x:c r="C6" s="30" t="n">
        <x:v>4</x:v>
      </x:c>
      <x:c r="D6" s="30" t="n">
        <x:v>7</x:v>
      </x:c>
      <x:c r="E6" s="30" t="n">
        <x:v>10</x:v>
      </x:c>
      <x:c r="F6" s="30" t="n">
        <x:v>14</x:v>
      </x:c>
    </x:row>
    <x:row r="7">
      <x:c r="A7" t="str">
        <x:v>Marketing FTE</x:v>
      </x:c>
      <x:c r="B7" s="30" t="n">
        <x:v>2</x:v>
      </x:c>
      <x:c r="C7" s="30" t="n">
        <x:v>3</x:v>
      </x:c>
      <x:c r="D7" s="30" t="n">
        <x:v>4</x:v>
      </x:c>
      <x:c r="E7" s="30" t="n">
        <x:v>5</x:v>
      </x:c>
      <x:c r="F7" s="30" t="n">
        <x:v>7</x:v>
      </x:c>
    </x:row>
    <x:row r="8">
      <x:c r="A8" t="str">
        <x:v>Customer Success / Support FTE</x:v>
      </x:c>
      <x:c r="B8" s="30" t="n">
        <x:v>4</x:v>
      </x:c>
      <x:c r="C8" s="30" t="n">
        <x:v>5</x:v>
      </x:c>
      <x:c r="D8" s="30" t="n">
        <x:v>8</x:v>
      </x:c>
      <x:c r="E8" s="30" t="n">
        <x:v>12</x:v>
      </x:c>
      <x:c r="F8" s="30" t="n">
        <x:v>18</x:v>
      </x:c>
    </x:row>
    <x:row r="9">
      <x:c r="A9" t="str">
        <x:v>Finance / HR / Admin FTE</x:v>
      </x:c>
      <x:c r="B9" s="30" t="n">
        <x:v>2</x:v>
      </x:c>
      <x:c r="C9" s="30" t="n">
        <x:v>3</x:v>
      </x:c>
      <x:c r="D9" s="30" t="n">
        <x:v>4</x:v>
      </x:c>
      <x:c r="E9" s="30" t="n">
        <x:v>5</x:v>
      </x:c>
      <x:c r="F9" s="30" t="n">
        <x:v>6</x:v>
      </x:c>
    </x:row>
    <x:row r="10">
      <x:c r="A10" t="str">
        <x:v>Management / Leadership FTE</x:v>
      </x:c>
      <x:c r="B10" s="30" t="n">
        <x:v>3</x:v>
      </x:c>
      <x:c r="C10" s="30" t="n">
        <x:v>3</x:v>
      </x:c>
      <x:c r="D10" s="30" t="n">
        <x:v>4</x:v>
      </x:c>
      <x:c r="E10" s="30" t="n">
        <x:v>4</x:v>
      </x:c>
      <x:c r="F10" s="30" t="n">
        <x:v>5</x:v>
      </x:c>
    </x:row>
    <x:row r="11">
      <x:c r="A11" t="str">
        <x:v>Total FTE</x:v>
      </x:c>
      <x:c r="B11" s="68" t="n">
        <x:f>SUM(B5:B10)</x:f>
        <x:v>19</x:v>
      </x:c>
      <x:c r="C11" s="68" t="n">
        <x:f>SUM(C5:C10)</x:f>
        <x:v>24</x:v>
      </x:c>
      <x:c r="D11" s="68" t="n">
        <x:f>SUM(D5:D10)</x:f>
        <x:v>35</x:v>
      </x:c>
      <x:c r="E11" s="68" t="n">
        <x:f>SUM(E5:E10)</x:f>
        <x:v>47</x:v>
      </x:c>
      <x:c r="F11" s="68" t="n">
        <x:f>SUM(F5:F10)</x:f>
        <x:v>65</x:v>
      </x:c>
    </x:row>
    <x:row r="12">
      <x:c r="A12" t="str">
        <x:v>Average Salary / Month</x:v>
      </x:c>
      <x:c r="B12" s="30" t="n">
        <x:v>10500000</x:v>
      </x:c>
      <x:c r="C12" s="30" t="n">
        <x:v>11000000</x:v>
      </x:c>
      <x:c r="D12" s="30" t="n">
        <x:v>11500000</x:v>
      </x:c>
      <x:c r="E12" s="30" t="n">
        <x:v>12000000</x:v>
      </x:c>
      <x:c r="F12" s="30" t="n">
        <x:v>12500000</x:v>
      </x:c>
    </x:row>
    <x:row r="13">
      <x:c r="A13" t="str">
        <x:v>Total Payroll</x:v>
      </x:c>
      <x:c r="B13" s="68" t="n">
        <x:f>B11*B12*12</x:f>
        <x:v>2394000000</x:v>
      </x:c>
      <x:c r="C13" s="68" t="n">
        <x:f>C11*C12*12</x:f>
        <x:v>3168000000</x:v>
      </x:c>
      <x:c r="D13" s="68" t="n">
        <x:f>D11*D12*12</x:f>
        <x:v>4830000000</x:v>
      </x:c>
      <x:c r="E13" s="68" t="n">
        <x:f>E11*E12*12</x:f>
        <x:v>6768000000</x:v>
      </x:c>
      <x:c r="F13" s="68" t="n">
        <x:f>F11*F12*12</x:f>
        <x:v>9750000000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07. Operating Expenses</x:v>
      </x:c>
      <x:c r="B1" s="88"/>
      <x:c r="C1" s="88"/>
      <x:c r="D1" s="88"/>
      <x:c r="E1" s="88"/>
      <x:c r="F1" s="88"/>
      <x:c r="G1" s="90"/>
      <x:c r="H1" s="90"/>
    </x:row>
    <x:row r="3">
      <x:c r="A3" s="17" t="str">
        <x:v>Metric / Driver</x:v>
      </x:c>
      <x:c r="B3" s="17" t="n">
        <x:v>2025</x:v>
      </x:c>
      <x:c r="C3" s="17" t="n">
        <x:v>2026</x:v>
      </x:c>
      <x:c r="D3" s="17" t="n">
        <x:v>2027</x:v>
      </x:c>
      <x:c r="E3" s="17" t="n">
        <x:v>2028</x:v>
      </x:c>
      <x:c r="F3" s="17" t="n">
        <x:v>2029</x:v>
      </x:c>
    </x:row>
    <x:row r="5">
      <x:c r="A5" t="str">
        <x:v>Payroll</x:v>
      </x:c>
      <x:c r="B5" s="56" t="n">
        <x:f>'06_HR_Planning'!B13</x:f>
        <x:v>2394000000</x:v>
      </x:c>
      <x:c r="C5" s="56" t="n">
        <x:f>'06_HR_Planning'!C13</x:f>
        <x:v>3168000000</x:v>
      </x:c>
      <x:c r="D5" s="56" t="n">
        <x:f>'06_HR_Planning'!D13</x:f>
        <x:v>4830000000</x:v>
      </x:c>
      <x:c r="E5" s="56" t="n">
        <x:f>'06_HR_Planning'!E13</x:f>
        <x:v>6768000000</x:v>
      </x:c>
      <x:c r="F5" s="56" t="n">
        <x:f>'06_HR_Planning'!F13</x:f>
        <x:v>9750000000</x:v>
      </x:c>
    </x:row>
    <x:row r="6">
      <x:c r="A6" t="str">
        <x:v>Sales &amp; Marketing Spend</x:v>
      </x:c>
      <x:c r="B6" s="30" t="n">
        <x:v>400000000</x:v>
      </x:c>
      <x:c r="C6" s="30" t="n">
        <x:v>600000000</x:v>
      </x:c>
      <x:c r="D6" s="30" t="n">
        <x:v>900000000</x:v>
      </x:c>
      <x:c r="E6" s="30" t="n">
        <x:v>1500000000</x:v>
      </x:c>
      <x:c r="F6" s="30" t="n">
        <x:v>2200000000</x:v>
      </x:c>
    </x:row>
    <x:row r="7">
      <x:c r="A7" t="str">
        <x:v>Office, Utilities &amp; Internet</x:v>
      </x:c>
      <x:c r="B7" s="30" t="n">
        <x:v>180000000</x:v>
      </x:c>
      <x:c r="C7" s="30" t="n">
        <x:v>220000000</x:v>
      </x:c>
      <x:c r="D7" s="30" t="n">
        <x:v>300000000</x:v>
      </x:c>
      <x:c r="E7" s="30" t="n">
        <x:v>400000000</x:v>
      </x:c>
      <x:c r="F7" s="30" t="n">
        <x:v>550000000</x:v>
      </x:c>
    </x:row>
    <x:row r="8">
      <x:c r="A8" t="str">
        <x:v>Software Tools &amp; Subscriptions</x:v>
      </x:c>
      <x:c r="B8" s="30" t="n">
        <x:v>120000000</x:v>
      </x:c>
      <x:c r="C8" s="30" t="n">
        <x:v>150000000</x:v>
      </x:c>
      <x:c r="D8" s="30" t="n">
        <x:v>220000000</x:v>
      </x:c>
      <x:c r="E8" s="30" t="n">
        <x:v>350000000</x:v>
      </x:c>
      <x:c r="F8" s="30" t="n">
        <x:v>500000000</x:v>
      </x:c>
    </x:row>
    <x:row r="9">
      <x:c r="A9" t="str">
        <x:v>Legal, Accounting &amp; Compliance</x:v>
      </x:c>
      <x:c r="B9" s="30" t="n">
        <x:v>80000000</x:v>
      </x:c>
      <x:c r="C9" s="30" t="n">
        <x:v>100000000</x:v>
      </x:c>
      <x:c r="D9" s="30" t="n">
        <x:v>150000000</x:v>
      </x:c>
      <x:c r="E9" s="30" t="n">
        <x:v>200000000</x:v>
      </x:c>
      <x:c r="F9" s="30" t="n">
        <x:v>300000000</x:v>
      </x:c>
    </x:row>
    <x:row r="10">
      <x:c r="A10" t="str">
        <x:v>Travel &amp; Events</x:v>
      </x:c>
      <x:c r="B10" s="30" t="n">
        <x:v>150000000</x:v>
      </x:c>
      <x:c r="C10" s="30" t="n">
        <x:v>180000000</x:v>
      </x:c>
      <x:c r="D10" s="30" t="n">
        <x:v>300000000</x:v>
      </x:c>
      <x:c r="E10" s="30" t="n">
        <x:v>500000000</x:v>
      </x:c>
      <x:c r="F10" s="30" t="n">
        <x:v>800000000</x:v>
      </x:c>
    </x:row>
    <x:row r="11">
      <x:c r="A11" t="str">
        <x:v>Recruitment &amp; Training</x:v>
      </x:c>
      <x:c r="B11" s="30" t="n">
        <x:v>70000000</x:v>
      </x:c>
      <x:c r="C11" s="30" t="n">
        <x:v>90000000</x:v>
      </x:c>
      <x:c r="D11" s="30" t="n">
        <x:v>150000000</x:v>
      </x:c>
      <x:c r="E11" s="30" t="n">
        <x:v>250000000</x:v>
      </x:c>
      <x:c r="F11" s="30" t="n">
        <x:v>350000000</x:v>
      </x:c>
    </x:row>
    <x:row r="12">
      <x:c r="A12" t="str">
        <x:v>Other G&amp;A</x:v>
      </x:c>
      <x:c r="B12" s="30" t="n">
        <x:v>100000000</x:v>
      </x:c>
      <x:c r="C12" s="30" t="n">
        <x:v>130000000</x:v>
      </x:c>
      <x:c r="D12" s="30" t="n">
        <x:v>200000000</x:v>
      </x:c>
      <x:c r="E12" s="30" t="n">
        <x:v>300000000</x:v>
      </x:c>
      <x:c r="F12" s="30" t="n">
        <x:v>500000000</x:v>
      </x:c>
    </x:row>
    <x:row r="13">
      <x:c r="A13" s="63" t="str">
        <x:v>Total OPEX</x:v>
      </x:c>
      <x:c r="B13" s="63" t="n">
        <x:f>SUM(B5:B12)</x:f>
        <x:v>3494000000</x:v>
      </x:c>
      <x:c r="C13" s="63" t="n">
        <x:f>SUM(C5:C12)</x:f>
        <x:v>4638000000</x:v>
      </x:c>
      <x:c r="D13" s="63" t="n">
        <x:f>SUM(D5:D12)</x:f>
        <x:v>7050000000</x:v>
      </x:c>
      <x:c r="E13" s="63" t="n">
        <x:f>SUM(E5:E12)</x:f>
        <x:v>10268000000</x:v>
      </x:c>
      <x:c r="F13" s="63" t="n">
        <x:f>SUM(F5:F12)</x:f>
        <x:v>14950000000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08. EBITDA Summary</x:v>
      </x:c>
      <x:c r="B1" s="88"/>
      <x:c r="C1" s="88"/>
      <x:c r="D1" s="88"/>
      <x:c r="E1" s="88"/>
      <x:c r="F1" s="88"/>
      <x:c r="G1" s="90"/>
      <x:c r="H1" s="90"/>
    </x:row>
    <x:row r="3">
      <x:c r="A3" s="17" t="str">
        <x:v>Metric / Driver</x:v>
      </x:c>
      <x:c r="B3" s="17" t="n">
        <x:v>2025</x:v>
      </x:c>
      <x:c r="C3" s="17" t="n">
        <x:v>2026</x:v>
      </x:c>
      <x:c r="D3" s="17" t="n">
        <x:v>2027</x:v>
      </x:c>
      <x:c r="E3" s="17" t="n">
        <x:v>2028</x:v>
      </x:c>
      <x:c r="F3" s="17" t="n">
        <x:v>2029</x:v>
      </x:c>
    </x:row>
    <x:row r="5">
      <x:c r="A5" t="str">
        <x:v>Total Revenue</x:v>
      </x:c>
      <x:c r="B5" s="56" t="n">
        <x:f>'04_Revenue_Engine'!B13</x:f>
        <x:v>3724565200</x:v>
      </x:c>
      <x:c r="C5" s="56" t="n">
        <x:f>'04_Revenue_Engine'!C13</x:f>
        <x:v>4188344000</x:v>
      </x:c>
      <x:c r="D5" s="56" t="n">
        <x:f>'04_Revenue_Engine'!D13</x:f>
        <x:v>10143720000</x:v>
      </x:c>
      <x:c r="E5" s="56" t="n">
        <x:f>'04_Revenue_Engine'!E13</x:f>
        <x:v>18097344000</x:v>
      </x:c>
      <x:c r="F5" s="56" t="n">
        <x:f>'04_Revenue_Engine'!F13</x:f>
        <x:v>32054985600</x:v>
      </x:c>
    </x:row>
    <x:row r="6">
      <x:c r="A6" t="str">
        <x:v>COGS</x:v>
      </x:c>
      <x:c r="B6" s="56" t="n">
        <x:f>'05_COGS'!B10</x:f>
        <x:v>912610016</x:v>
      </x:c>
      <x:c r="C6" s="56" t="n">
        <x:f>'05_COGS'!C10</x:f>
        <x:v>1036376320</x:v>
      </x:c>
      <x:c r="D6" s="56" t="n">
        <x:f>'05_COGS'!D10</x:f>
        <x:v>2312138800</x:v>
      </x:c>
      <x:c r="E6" s="56" t="n">
        <x:f>'05_COGS'!E10</x:f>
        <x:v>3321884160</x:v>
      </x:c>
      <x:c r="F6" s="56" t="n">
        <x:f>'05_COGS'!F10</x:f>
        <x:v>4575884880</x:v>
      </x:c>
    </x:row>
    <x:row r="7">
      <x:c r="A7" t="str">
        <x:v>Gross Profit</x:v>
      </x:c>
      <x:c r="B7" s="56" t="n">
        <x:f>B5-B6</x:f>
        <x:v>2811955184</x:v>
      </x:c>
      <x:c r="C7" s="56" t="n">
        <x:f>C5-C6</x:f>
        <x:v>3151967680</x:v>
      </x:c>
      <x:c r="D7" s="56" t="n">
        <x:f>D5-D6</x:f>
        <x:v>7831581200</x:v>
      </x:c>
      <x:c r="E7" s="56" t="n">
        <x:f>E5-E6</x:f>
        <x:v>14775459840</x:v>
      </x:c>
      <x:c r="F7" s="56" t="n">
        <x:f>F5-F6</x:f>
        <x:v>27479100720</x:v>
      </x:c>
    </x:row>
    <x:row r="8">
      <x:c r="A8" t="str">
        <x:v>Gross Margin</x:v>
      </x:c>
      <x:c r="B8" s="60" t="n">
        <x:f>IF(B5=0,0,B7/B5)</x:f>
        <x:v>0.7549754220975914</x:v>
      </x:c>
      <x:c r="C8" s="60" t="n">
        <x:f>IF(C5=0,0,C7/C5)</x:f>
        <x:v>0.7525570201492523</x:v>
      </x:c>
      <x:c r="D8" s="60" t="n">
        <x:f>IF(D5=0,0,D7/D5)</x:f>
        <x:v>0.77206204429933</x:v>
      </x:c>
      <x:c r="E8" s="60" t="n">
        <x:f>IF(E5=0,0,E7/E5)</x:f>
        <x:v>0.8164435532639486</x:v>
      </x:c>
      <x:c r="F8" s="60" t="n">
        <x:f>IF(F5=0,0,F7/F5)</x:f>
        <x:v>0.8572488867379182</x:v>
      </x:c>
    </x:row>
    <x:row r="9">
      <x:c r="A9" t="str">
        <x:v>OPEX</x:v>
      </x:c>
      <x:c r="B9" s="56" t="n">
        <x:f>'07_OPEX'!B13</x:f>
        <x:v>3494000000</x:v>
      </x:c>
      <x:c r="C9" s="56" t="n">
        <x:f>'07_OPEX'!C13</x:f>
        <x:v>4638000000</x:v>
      </x:c>
      <x:c r="D9" s="56" t="n">
        <x:f>'07_OPEX'!D13</x:f>
        <x:v>7050000000</x:v>
      </x:c>
      <x:c r="E9" s="56" t="n">
        <x:f>'07_OPEX'!E13</x:f>
        <x:v>10268000000</x:v>
      </x:c>
      <x:c r="F9" s="56" t="n">
        <x:f>'07_OPEX'!F13</x:f>
        <x:v>14950000000</x:v>
      </x:c>
    </x:row>
    <x:row r="10">
      <x:c r="A10" s="63" t="str">
        <x:v>EBITDA</x:v>
      </x:c>
      <x:c r="B10" s="64" t="n">
        <x:f>B7-B9</x:f>
        <x:v>-682044816</x:v>
      </x:c>
      <x:c r="C10" s="64" t="n">
        <x:f>C7-C9</x:f>
        <x:v>-1486032320</x:v>
      </x:c>
      <x:c r="D10" s="64" t="n">
        <x:f>D7-D9</x:f>
        <x:v>781581200</x:v>
      </x:c>
      <x:c r="E10" s="64" t="n">
        <x:f>E7-E9</x:f>
        <x:v>4507459840</x:v>
      </x:c>
      <x:c r="F10" s="64" t="n">
        <x:f>F7-F9</x:f>
        <x:v>12529100720</x:v>
      </x:c>
    </x:row>
    <x:row r="11">
      <x:c r="A11" t="str">
        <x:v>EBITDA Margin</x:v>
      </x:c>
      <x:c r="B11" s="60" t="n">
        <x:f>IF(B5=0,0,B10/B5)</x:f>
        <x:v>-0.1831206541907227</x:v>
      </x:c>
      <x:c r="C11" s="60" t="n">
        <x:f>IF(C5=0,0,C10/C5)</x:f>
        <x:v>-0.3548018787377541</x:v>
      </x:c>
      <x:c r="D11" s="60" t="n">
        <x:f>IF(D5=0,0,D10/D5)</x:f>
        <x:v>0.07705074666887493</x:v>
      </x:c>
      <x:c r="E11" s="60" t="n">
        <x:f>IF(E5=0,0,E10/E5)</x:f>
        <x:v>0.24906747863111847</x:v>
      </x:c>
      <x:c r="F11" s="60" t="n">
        <x:f>IF(F5=0,0,F10/F5)</x:f>
        <x:v>0.3908627779885822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09. Cash Flow &amp; Runway</x:v>
      </x:c>
      <x:c r="B1" s="88"/>
      <x:c r="C1" s="88"/>
      <x:c r="D1" s="88"/>
      <x:c r="E1" s="88"/>
      <x:c r="F1" s="88"/>
      <x:c r="G1" s="90"/>
      <x:c r="H1" s="90"/>
    </x:row>
    <x:row r="3">
      <x:c r="A3" s="17" t="str">
        <x:v>Metric / Driver</x:v>
      </x:c>
      <x:c r="B3" s="17" t="n">
        <x:v>2025</x:v>
      </x:c>
      <x:c r="C3" s="17" t="n">
        <x:v>2026</x:v>
      </x:c>
      <x:c r="D3" s="17" t="n">
        <x:v>2027</x:v>
      </x:c>
      <x:c r="E3" s="17" t="n">
        <x:v>2028</x:v>
      </x:c>
      <x:c r="F3" s="17" t="n">
        <x:v>2029</x:v>
      </x:c>
    </x:row>
    <x:row r="5">
      <x:c r="A5" t="str">
        <x:v>Opening Cash</x:v>
      </x:c>
      <x:c r="B5" s="30" t="n">
        <x:v>0</x:v>
      </x:c>
      <x:c r="C5" t="n">
        <x:f>B8</x:f>
        <x:v>-682044816</x:v>
      </x:c>
      <x:c r="D5" t="n">
        <x:f>C8</x:f>
        <x:v>6081922864</x:v>
      </x:c>
      <x:c r="E5" t="n">
        <x:f>D8</x:f>
        <x:v>6863504064</x:v>
      </x:c>
      <x:c r="F5" t="n">
        <x:f>E8</x:f>
        <x:v>11370963904</x:v>
      </x:c>
    </x:row>
    <x:row r="6">
      <x:c r="A6" t="str">
        <x:v>Seed Investment Inflow</x:v>
      </x:c>
      <x:c r="B6" s="56" t="n">
        <x:f>IF(B$3=2026,'02_Assumptions'!B37,0)</x:f>
        <x:v>0</x:v>
      </x:c>
      <x:c r="C6" s="56" t="n">
        <x:f>IF(C$3=2026,'02_Assumptions'!C37,0)</x:f>
        <x:v>8250000000</x:v>
      </x:c>
      <x:c r="D6" s="56" t="n">
        <x:f>IF(D$3=2026,'02_Assumptions'!D37,0)</x:f>
        <x:v>0</x:v>
      </x:c>
      <x:c r="E6" s="56" t="n">
        <x:f>IF(E$3=2026,'02_Assumptions'!E37,0)</x:f>
        <x:v>0</x:v>
      </x:c>
      <x:c r="F6" s="56" t="n">
        <x:f>IF(F$3=2026,'02_Assumptions'!F37,0)</x:f>
        <x:v>0</x:v>
      </x:c>
    </x:row>
    <x:row r="7">
      <x:c r="A7" t="str">
        <x:v>EBITDA</x:v>
      </x:c>
      <x:c r="B7" s="56" t="n">
        <x:f>'08_EBITDA'!B10</x:f>
        <x:v>-682044816</x:v>
      </x:c>
      <x:c r="C7" s="56" t="n">
        <x:f>'08_EBITDA'!C10</x:f>
        <x:v>-1486032320</x:v>
      </x:c>
      <x:c r="D7" s="56" t="n">
        <x:f>'08_EBITDA'!D10</x:f>
        <x:v>781581200</x:v>
      </x:c>
      <x:c r="E7" s="56" t="n">
        <x:f>'08_EBITDA'!E10</x:f>
        <x:v>4507459840</x:v>
      </x:c>
      <x:c r="F7" s="56" t="n">
        <x:f>'08_EBITDA'!F10</x:f>
        <x:v>12529100720</x:v>
      </x:c>
    </x:row>
    <x:row r="8">
      <x:c r="A8" s="63" t="str">
        <x:v>Ending Cash</x:v>
      </x:c>
      <x:c r="B8" s="64" t="n">
        <x:f>B5+B6+B7</x:f>
        <x:v>-682044816</x:v>
      </x:c>
      <x:c r="C8" s="64" t="n">
        <x:f>C5+C6+C7</x:f>
        <x:v>6081922864</x:v>
      </x:c>
      <x:c r="D8" s="64" t="n">
        <x:f>D5+D6+D7</x:f>
        <x:v>6863504064</x:v>
      </x:c>
      <x:c r="E8" s="64" t="n">
        <x:f>E5+E6+E7</x:f>
        <x:v>11370963904</x:v>
      </x:c>
      <x:c r="F8" s="64" t="n">
        <x:f>F5+F6+F7</x:f>
        <x:v>23900064624</x:v>
      </x:c>
    </x:row>
    <x:row r="9">
      <x:c r="A9" t="str">
        <x:v>Average Monthly Burn / Profit</x:v>
      </x:c>
      <x:c r="B9" s="56" t="n">
        <x:f>ABS(MIN(B7/12,0))</x:f>
        <x:v>56837068</x:v>
      </x:c>
      <x:c r="C9" s="56" t="n">
        <x:f>ABS(MIN(C7/12,0))</x:f>
        <x:v>123836026.66666667</x:v>
      </x:c>
      <x:c r="D9" s="56" t="n">
        <x:f>ABS(MIN(D7/12,0))</x:f>
        <x:v>0</x:v>
      </x:c>
      <x:c r="E9" s="56" t="n">
        <x:f>ABS(MIN(E7/12,0))</x:f>
        <x:v>0</x:v>
      </x:c>
      <x:c r="F9" s="56" t="n">
        <x:f>ABS(MIN(F7/12,0))</x:f>
        <x:v>0</x:v>
      </x:c>
    </x:row>
    <x:row r="10">
      <x:c r="A10" t="str">
        <x:v>Runway (Months)</x:v>
      </x:c>
      <x:c r="B10" s="56" t="n">
        <x:f>IF(B9=0,"Profitable",B8/B9)</x:f>
        <x:v>-12</x:v>
      </x:c>
      <x:c r="C10" s="56" t="n">
        <x:f>IF(C9=0,"Profitable",C8/C9)</x:f>
        <x:v>49.112709990049204</x:v>
      </x:c>
      <x:c r="D10" s="56" t="str">
        <x:f>IF(D9=0,"Profitable",D8/D9)</x:f>
        <x:v>Profitable</x:v>
      </x:c>
      <x:c r="E10" s="56" t="str">
        <x:f>IF(E9=0,"Profitable",E8/E9)</x:f>
        <x:v>Profitable</x:v>
      </x:c>
      <x:c r="F10" s="56" t="str">
        <x:f>IF(F9=0,"Profitable",F8/F9)</x:f>
        <x:v>Profitable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10. SaaS Metrics</x:v>
      </x:c>
      <x:c r="B1" s="88"/>
      <x:c r="C1" s="88"/>
      <x:c r="D1" s="88"/>
      <x:c r="E1" s="88"/>
      <x:c r="F1" s="88"/>
      <x:c r="G1" s="90"/>
      <x:c r="H1" s="90"/>
    </x:row>
    <x:row r="3">
      <x:c r="A3" s="17" t="str">
        <x:v>Metric / Driver</x:v>
      </x:c>
      <x:c r="B3" s="17" t="n">
        <x:v>2025</x:v>
      </x:c>
      <x:c r="C3" s="17" t="n">
        <x:v>2026</x:v>
      </x:c>
      <x:c r="D3" s="17" t="n">
        <x:v>2027</x:v>
      </x:c>
      <x:c r="E3" s="17" t="n">
        <x:v>2028</x:v>
      </x:c>
      <x:c r="F3" s="17" t="n">
        <x:v>2029</x:v>
      </x:c>
    </x:row>
    <x:row r="5">
      <x:c r="A5" t="str">
        <x:v>MRR</x:v>
      </x:c>
      <x:c r="B5" s="56" t="n">
        <x:f>'04_Revenue_Engine'!B14/12</x:f>
        <x:v>142680000</x:v>
      </x:c>
      <x:c r="C5" s="56" t="n">
        <x:f>'04_Revenue_Engine'!C14/12</x:f>
        <x:v>160080000</x:v>
      </x:c>
      <x:c r="D5" s="56" t="n">
        <x:f>'04_Revenue_Engine'!D14/12</x:f>
        <x:v>301600000</x:v>
      </x:c>
      <x:c r="E5" s="56" t="n">
        <x:f>'04_Revenue_Engine'!E14/12</x:f>
        <x:v>528960000</x:v>
      </x:c>
      <x:c r="F5" s="56" t="n">
        <x:f>'04_Revenue_Engine'!F14/12</x:f>
        <x:v>813740000</x:v>
      </x:c>
    </x:row>
    <x:row r="6">
      <x:c r="A6" t="str">
        <x:v>ARR</x:v>
      </x:c>
      <x:c r="B6" s="56" t="n">
        <x:f>'04_Revenue_Engine'!B14</x:f>
        <x:v>1712160000</x:v>
      </x:c>
      <x:c r="C6" s="56" t="n">
        <x:f>'04_Revenue_Engine'!C14</x:f>
        <x:v>1920960000</x:v>
      </x:c>
      <x:c r="D6" s="56" t="n">
        <x:f>'04_Revenue_Engine'!D14</x:f>
        <x:v>3619200000</x:v>
      </x:c>
      <x:c r="E6" s="56" t="n">
        <x:f>'04_Revenue_Engine'!E14</x:f>
        <x:v>6347520000</x:v>
      </x:c>
      <x:c r="F6" s="56" t="n">
        <x:f>'04_Revenue_Engine'!F14</x:f>
        <x:v>9764880000</x:v>
      </x:c>
    </x:row>
    <x:row r="7">
      <x:c r="A7" t="str">
        <x:v>ARPU / Active Coop</x:v>
      </x:c>
      <x:c r="B7" s="56" t="n">
        <x:f>'04_Revenue_Engine'!B15</x:f>
        <x:v>15140508.943089431</x:v>
      </x:c>
      <x:c r="C7" s="56" t="n">
        <x:f>'04_Revenue_Engine'!C15</x:f>
        <x:v>15175159.420289855</x:v>
      </x:c>
      <x:c r="D7" s="56" t="n">
        <x:f>'04_Revenue_Engine'!D15</x:f>
        <x:v>19507153.846153848</x:v>
      </x:c>
      <x:c r="E7" s="56" t="n">
        <x:f>'04_Revenue_Engine'!E15</x:f>
        <x:v>19843578.94736842</x:v>
      </x:c>
      <x:c r="F7" s="56" t="n">
        <x:f>'04_Revenue_Engine'!F15</x:f>
        <x:v>22847459.444048468</x:v>
      </x:c>
    </x:row>
    <x:row r="8">
      <x:c r="A8" t="str">
        <x:v>Gross Margin</x:v>
      </x:c>
      <x:c r="B8" s="60" t="n">
        <x:f>'05_COGS'!B12</x:f>
        <x:v>0.7549754220975914</x:v>
      </x:c>
      <x:c r="C8" s="60" t="n">
        <x:f>'05_COGS'!C12</x:f>
        <x:v>0.7525570201492523</x:v>
      </x:c>
      <x:c r="D8" s="60" t="n">
        <x:f>'05_COGS'!D12</x:f>
        <x:v>0.77206204429933</x:v>
      </x:c>
      <x:c r="E8" s="60" t="n">
        <x:f>'05_COGS'!E12</x:f>
        <x:v>0.8164435532639486</x:v>
      </x:c>
      <x:c r="F8" s="60" t="n">
        <x:f>'05_COGS'!F12</x:f>
        <x:v>0.8572488867379182</x:v>
      </x:c>
    </x:row>
    <x:row r="9">
      <x:c r="A9" t="str">
        <x:v>Monthly Churn</x:v>
      </x:c>
      <x:c r="B9" s="60" t="n">
        <x:f>'02_Assumptions'!B8</x:f>
        <x:v>0.02</x:v>
      </x:c>
      <x:c r="C9" s="60" t="n">
        <x:f>'02_Assumptions'!C8</x:f>
        <x:v>0.02</x:v>
      </x:c>
      <x:c r="D9" s="60" t="n">
        <x:f>'02_Assumptions'!D8</x:f>
        <x:v>0.02</x:v>
      </x:c>
      <x:c r="E9" s="60" t="n">
        <x:f>'02_Assumptions'!E8</x:f>
        <x:v>0.015</x:v>
      </x:c>
      <x:c r="F9" s="60" t="n">
        <x:f>'02_Assumptions'!F8</x:f>
        <x:v>0.01</x:v>
      </x:c>
    </x:row>
    <x:row r="10">
      <x:c r="A10" t="str">
        <x:v>Annual Churn</x:v>
      </x:c>
      <x:c r="B10" s="60" t="n">
        <x:f>1-(1-B9)^12</x:f>
        <x:v>0.21528327626520027</x:v>
      </x:c>
      <x:c r="C10" s="60" t="n">
        <x:f>1-(1-C9)^12</x:f>
        <x:v>0.21528327626520027</x:v>
      </x:c>
      <x:c r="D10" s="60" t="n">
        <x:f>1-(1-D9)^12</x:f>
        <x:v>0.21528327626520027</x:v>
      </x:c>
      <x:c r="E10" s="60" t="n">
        <x:f>1-(1-E9)^12</x:f>
        <x:v>0.1658680316591229</x:v>
      </x:c>
      <x:c r="F10" s="60" t="n">
        <x:f>1-(1-F9)^12</x:f>
        <x:v>0.11361512828387088</x:v>
      </x:c>
    </x:row>
    <x:row r="11">
      <x:c r="A11" t="str">
        <x:v>Estimated CAC / New Coop</x:v>
      </x:c>
      <x:c r="B11" s="56" t="n">
        <x:f>IF('02_Assumptions'!B7=0,0,('07_OPEX'!B6+'07_OPEX'!B5*0.35)/'02_Assumptions'!B7)</x:f>
        <x:v>35368571.428571425</x:v>
      </x:c>
      <x:c r="C11" s="56" t="n">
        <x:f>IF('02_Assumptions'!C7=0,0,('07_OPEX'!C6+'07_OPEX'!C5*0.35)/'02_Assumptions'!C7)</x:f>
        <x:v>48822857.14285714</x:v>
      </x:c>
      <x:c r="D11" s="56" t="n">
        <x:f>IF('02_Assumptions'!D7=0,0,('07_OPEX'!D6+'07_OPEX'!D5*0.35)/'02_Assumptions'!D7)</x:f>
        <x:v>10362000</x:v>
      </x:c>
      <x:c r="E11" s="56" t="n">
        <x:f>IF('02_Assumptions'!E7=0,0,('07_OPEX'!E6+'07_OPEX'!E5*0.35)/'02_Assumptions'!E7)</x:f>
        <x:v>9672000</x:v>
      </x:c>
      <x:c r="F11" s="56" t="n">
        <x:f>IF('02_Assumptions'!F7=0,0,('07_OPEX'!F6+'07_OPEX'!F5*0.35)/'02_Assumptions'!F7)</x:f>
        <x:v>11225000</x:v>
      </x:c>
    </x:row>
    <x:row r="12">
      <x:c r="A12" t="str">
        <x:v>Estimated LTV</x:v>
      </x:c>
      <x:c r="B12" s="56" t="n">
        <x:f>IF(B9=0,0,(B5*B8)/B9)</x:f>
        <x:v>5385994661.244217</x:v>
      </x:c>
      <x:c r="C12" s="56" t="n">
        <x:f>IF(C9=0,0,(C5*C8)/C9)</x:f>
        <x:v>6023466389.274615</x:v>
      </x:c>
      <x:c r="D12" s="56" t="n">
        <x:f>IF(D9=0,0,(D5*D8)/D9)</x:f>
        <x:v>11642695628.033895</x:v>
      </x:c>
      <x:c r="E12" s="56" t="n">
        <x:f>IF(E9=0,0,(E5*E8)/E9)</x:f>
        <x:v>28791065462.299885</x:v>
      </x:c>
      <x:c r="F12" s="56" t="n">
        <x:f>IF(F9=0,0,(F5*F8)/F9)</x:f>
        <x:v>69757770909.41136</x:v>
      </x:c>
    </x:row>
    <x:row r="13">
      <x:c r="A13" t="str">
        <x:v>LTV / CAC</x:v>
      </x:c>
      <x:c r="B13" s="70" t="n">
        <x:f>IF(B11=0,0,B12/B11)</x:f>
        <x:v>152.28193969104743</x:v>
      </x:c>
      <x:c r="C13" s="70" t="n">
        <x:f>IF(C11=0,0,C12/C11)</x:f>
        <x:v>123.37390193387847</x:v>
      </x:c>
      <x:c r="D13" s="70" t="n">
        <x:f>IF(D11=0,0,D12/D11)</x:f>
        <x:v>1123.5954089976738</x:v>
      </x:c>
      <x:c r="E13" s="70" t="n">
        <x:f>IF(E11=0,0,E12/E11)</x:f>
        <x:v>2976.743740932577</x:v>
      </x:c>
      <x:c r="F13" s="70" t="n">
        <x:f>IF(F11=0,0,F12/F11)</x:f>
        <x:v>6214.50074916805</x:v>
      </x:c>
    </x:row>
    <x:row r="14">
      <x:c r="A14" t="str">
        <x:v>CAC Payback (Months)</x:v>
      </x:c>
      <x:c r="B14" s="72" t="n">
        <x:f>IF((B5*B8)=0,0,B11/(B5*B8))</x:f>
        <x:v>0.32833834466149414</x:v>
      </x:c>
      <x:c r="C14" s="72" t="n">
        <x:f>IF((C5*C8)=0,0,C11/(C5*C8))</x:f>
        <x:v>0.4052720973905584</x:v>
      </x:c>
      <x:c r="D14" s="72" t="n">
        <x:f>IF((D5*D8)=0,0,D11/(D5*D8))</x:f>
        <x:v>0.04450000382664746</x:v>
      </x:c>
      <x:c r="E14" s="72" t="n">
        <x:f>IF((E5*E8)=0,0,E11/(E5*E8))</x:f>
        <x:v>0.022395836682193148</x:v>
      </x:c>
      <x:c r="F14" s="72" t="n">
        <x:f>IF((F5*F8)=0,0,F11/(F5*F8))</x:f>
        <x:v>0.016091397207311824</x:v>
      </x:c>
    </x:row>
    <x:row r="15">
      <x:c r="A15" t="str">
        <x:v>Rule of 40</x:v>
      </x:c>
      <x:c r="B15" s="60" t="n">
        <x:f>'08_EBITDA'!B11</x:f>
        <x:v>-0.1831206541907227</x:v>
      </x:c>
      <x:c r="C15" s="60" t="n">
        <x:f>(('04_Revenue_Engine'!C13/'04_Revenue_Engine'!B13)-1)+'08_EBITDA'!C11</x:f>
        <x:v>-0.23028296844991708</x:v>
      </x:c>
      <x:c r="D15" s="60" t="n">
        <x:f>(('04_Revenue_Engine'!D13/'04_Revenue_Engine'!C13)-1)+'08_EBITDA'!D11</x:f>
        <x:v>1.498943504283818</x:v>
      </x:c>
      <x:c r="E15" s="60" t="n">
        <x:f>(('04_Revenue_Engine'!E13/'04_Revenue_Engine'!D13)-1)+'08_EBITDA'!E11</x:f>
        <x:v>1.03316088814952</x:v>
      </x:c>
      <x:c r="F15" s="60" t="n">
        <x:f>(('04_Revenue_Engine'!F13/'04_Revenue_Engine'!E13)-1)+'08_EBITDA'!F11</x:f>
        <x:v>1.1621163718861178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11. Valuation</x:v>
      </x:c>
      <x:c r="B1" s="88"/>
      <x:c r="C1" s="88"/>
      <x:c r="D1" s="88"/>
      <x:c r="E1" s="88"/>
      <x:c r="F1" s="88"/>
      <x:c r="G1" s="90"/>
      <x:c r="H1" s="90"/>
    </x:row>
    <x:row r="3">
      <x:c r="A3" s="17" t="str">
        <x:v>Metric / Driver</x:v>
      </x:c>
      <x:c r="B3" s="17" t="n">
        <x:v>2025</x:v>
      </x:c>
      <x:c r="C3" s="17" t="n">
        <x:v>2026</x:v>
      </x:c>
      <x:c r="D3" s="17" t="n">
        <x:v>2027</x:v>
      </x:c>
      <x:c r="E3" s="17" t="n">
        <x:v>2028</x:v>
      </x:c>
      <x:c r="F3" s="17" t="n">
        <x:v>2029</x:v>
      </x:c>
    </x:row>
    <x:row r="5">
      <x:c r="A5" t="str">
        <x:v>Revenue</x:v>
      </x:c>
      <x:c r="B5" s="56" t="n">
        <x:f>'04_Revenue_Engine'!B13</x:f>
        <x:v>3724565200</x:v>
      </x:c>
      <x:c r="C5" s="56" t="n">
        <x:f>'04_Revenue_Engine'!C13</x:f>
        <x:v>4188344000</x:v>
      </x:c>
      <x:c r="D5" s="56" t="n">
        <x:f>'04_Revenue_Engine'!D13</x:f>
        <x:v>10143720000</x:v>
      </x:c>
      <x:c r="E5" s="56" t="n">
        <x:f>'04_Revenue_Engine'!E13</x:f>
        <x:v>18097344000</x:v>
      </x:c>
      <x:c r="F5" s="56" t="n">
        <x:f>'04_Revenue_Engine'!F13</x:f>
        <x:v>32054985600</x:v>
      </x:c>
    </x:row>
    <x:row r="6">
      <x:c r="A6" t="str">
        <x:v>ARR</x:v>
      </x:c>
      <x:c r="B6" s="56" t="n">
        <x:f>'10_SaaS_Metrics'!B6</x:f>
        <x:v>1712160000</x:v>
      </x:c>
      <x:c r="C6" s="56" t="n">
        <x:f>'10_SaaS_Metrics'!C6</x:f>
        <x:v>1920960000</x:v>
      </x:c>
      <x:c r="D6" s="56" t="n">
        <x:f>'10_SaaS_Metrics'!D6</x:f>
        <x:v>3619200000</x:v>
      </x:c>
      <x:c r="E6" s="56" t="n">
        <x:f>'10_SaaS_Metrics'!E6</x:f>
        <x:v>6347520000</x:v>
      </x:c>
      <x:c r="F6" s="56" t="n">
        <x:f>'10_SaaS_Metrics'!F6</x:f>
        <x:v>9764880000</x:v>
      </x:c>
    </x:row>
    <x:row r="7">
      <x:c r="A7" t="str">
        <x:v>Revenue Multiple - Conservative</x:v>
      </x:c>
      <x:c r="B7" s="70" t="n">
        <x:f>'02_Assumptions'!B39</x:f>
        <x:v>3</x:v>
      </x:c>
      <x:c r="C7" s="70" t="n">
        <x:f>'02_Assumptions'!C39</x:f>
        <x:v>3</x:v>
      </x:c>
      <x:c r="D7" s="70" t="n">
        <x:f>'02_Assumptions'!D39</x:f>
        <x:v>3</x:v>
      </x:c>
      <x:c r="E7" s="70" t="n">
        <x:f>'02_Assumptions'!E39</x:f>
        <x:v>3</x:v>
      </x:c>
      <x:c r="F7" s="70" t="n">
        <x:f>'02_Assumptions'!F39</x:f>
        <x:v>3</x:v>
      </x:c>
    </x:row>
    <x:row r="8">
      <x:c r="A8" t="str">
        <x:v>Revenue Multiple - Base</x:v>
      </x:c>
      <x:c r="B8" s="70" t="n">
        <x:f>'02_Assumptions'!B40</x:f>
        <x:v>5</x:v>
      </x:c>
      <x:c r="C8" s="70" t="n">
        <x:f>'02_Assumptions'!C40</x:f>
        <x:v>5</x:v>
      </x:c>
      <x:c r="D8" s="70" t="n">
        <x:f>'02_Assumptions'!D40</x:f>
        <x:v>5</x:v>
      </x:c>
      <x:c r="E8" s="70" t="n">
        <x:f>'02_Assumptions'!E40</x:f>
        <x:v>5</x:v>
      </x:c>
      <x:c r="F8" s="70" t="n">
        <x:f>'02_Assumptions'!F40</x:f>
        <x:v>5</x:v>
      </x:c>
    </x:row>
    <x:row r="9">
      <x:c r="A9" t="str">
        <x:v>Revenue Multiple - Optimistic</x:v>
      </x:c>
      <x:c r="B9" s="70" t="n">
        <x:f>'02_Assumptions'!B41</x:f>
        <x:v>7</x:v>
      </x:c>
      <x:c r="C9" s="70" t="n">
        <x:f>'02_Assumptions'!C41</x:f>
        <x:v>7</x:v>
      </x:c>
      <x:c r="D9" s="70" t="n">
        <x:f>'02_Assumptions'!D41</x:f>
        <x:v>7</x:v>
      </x:c>
      <x:c r="E9" s="70" t="n">
        <x:f>'02_Assumptions'!E41</x:f>
        <x:v>7</x:v>
      </x:c>
      <x:c r="F9" s="70" t="n">
        <x:f>'02_Assumptions'!F41</x:f>
        <x:v>7</x:v>
      </x:c>
    </x:row>
    <x:row r="10">
      <x:c r="A10" t="str">
        <x:v>Enterprise Value - Conservative</x:v>
      </x:c>
      <x:c r="B10" s="56" t="n">
        <x:f>B5*B7</x:f>
        <x:v>11173695600</x:v>
      </x:c>
      <x:c r="C10" s="56" t="n">
        <x:f>C5*C7</x:f>
        <x:v>12565032000</x:v>
      </x:c>
      <x:c r="D10" s="56" t="n">
        <x:f>D5*D7</x:f>
        <x:v>30431160000</x:v>
      </x:c>
      <x:c r="E10" s="56" t="n">
        <x:f>E5*E7</x:f>
        <x:v>54292032000</x:v>
      </x:c>
      <x:c r="F10" s="56" t="n">
        <x:f>F5*F7</x:f>
        <x:v>96164956800</x:v>
      </x:c>
    </x:row>
    <x:row r="11">
      <x:c r="A11" t="str">
        <x:v>Enterprise Value - Base</x:v>
      </x:c>
      <x:c r="B11" s="56" t="n">
        <x:f>B5*B8</x:f>
        <x:v>18622826000</x:v>
      </x:c>
      <x:c r="C11" s="56" t="n">
        <x:f>C5*C8</x:f>
        <x:v>20941720000</x:v>
      </x:c>
      <x:c r="D11" s="56" t="n">
        <x:f>D5*D8</x:f>
        <x:v>50718600000</x:v>
      </x:c>
      <x:c r="E11" s="56" t="n">
        <x:f>E5*E8</x:f>
        <x:v>90486720000</x:v>
      </x:c>
      <x:c r="F11" s="56" t="n">
        <x:f>F5*F8</x:f>
        <x:v>160274928000</x:v>
      </x:c>
    </x:row>
    <x:row r="12">
      <x:c r="A12" t="str">
        <x:v>Enterprise Value - Optimistic</x:v>
      </x:c>
      <x:c r="B12" s="56" t="n">
        <x:f>B5*B9</x:f>
        <x:v>26071956400</x:v>
      </x:c>
      <x:c r="C12" s="56" t="n">
        <x:f>C5*C9</x:f>
        <x:v>29318408000</x:v>
      </x:c>
      <x:c r="D12" s="56" t="n">
        <x:f>D5*D9</x:f>
        <x:v>71006040000</x:v>
      </x:c>
      <x:c r="E12" s="56" t="n">
        <x:f>E5*E9</x:f>
        <x:v>126681408000</x:v>
      </x:c>
      <x:c r="F12" s="56" t="n">
        <x:f>F5*F9</x:f>
        <x:v>224384899200</x:v>
      </x:c>
    </x:row>
    <x:row r="13">
      <x:c r="A13" t="str">
        <x:v>Seed Pre-Money Valuation</x:v>
      </x:c>
      <x:c r="B13" s="56" t="n">
        <x:f>'02_Assumptions'!B38</x:f>
        <x:v>46200000000</x:v>
      </x:c>
      <x:c r="C13" s="56" t="n">
        <x:f>'02_Assumptions'!C38</x:f>
        <x:v>46200000000</x:v>
      </x:c>
      <x:c r="D13" s="56" t="n">
        <x:f>'02_Assumptions'!D38</x:f>
        <x:v>46200000000</x:v>
      </x:c>
      <x:c r="E13" s="56" t="n">
        <x:f>'02_Assumptions'!E38</x:f>
        <x:v>46200000000</x:v>
      </x:c>
      <x:c r="F13" s="56" t="n">
        <x:f>'02_Assumptions'!F38</x:f>
        <x:v>46200000000</x:v>
      </x:c>
    </x:row>
    <x:row r="14">
      <x:c r="A14" t="str">
        <x:v>Seed Post-Money Valuation</x:v>
      </x:c>
      <x:c r="B14" s="56" t="n">
        <x:f>B13+'02_Assumptions'!B37</x:f>
        <x:v>54450000000</x:v>
      </x:c>
      <x:c r="C14" s="56" t="n">
        <x:f>C13+'02_Assumptions'!C37</x:f>
        <x:v>54450000000</x:v>
      </x:c>
      <x:c r="D14" s="56" t="n">
        <x:f>D13+'02_Assumptions'!D37</x:f>
        <x:v>54450000000</x:v>
      </x:c>
      <x:c r="E14" s="56" t="n">
        <x:f>E13+'02_Assumptions'!E37</x:f>
        <x:v>54450000000</x:v>
      </x:c>
      <x:c r="F14" s="56" t="n">
        <x:f>F13+'02_Assumptions'!F37</x:f>
        <x:v>54450000000</x:v>
      </x:c>
    </x:row>
    <x:row r="15">
      <x:c r="A15" t="str">
        <x:v>Implied Seed Equity %</x:v>
      </x:c>
      <x:c r="B15" s="60" t="n">
        <x:f>IF(B14=0,0,'02_Assumptions'!B37/B14)</x:f>
        <x:v>0.15151515151515152</x:v>
      </x:c>
      <x:c r="C15" s="60" t="n">
        <x:f>IF(C14=0,0,'02_Assumptions'!C37/C14)</x:f>
        <x:v>0.15151515151515152</x:v>
      </x:c>
      <x:c r="D15" s="60" t="n">
        <x:f>IF(D14=0,0,'02_Assumptions'!D37/D14)</x:f>
        <x:v>0.15151515151515152</x:v>
      </x:c>
      <x:c r="E15" s="60" t="n">
        <x:f>IF(E14=0,0,'02_Assumptions'!E37/E14)</x:f>
        <x:v>0.15151515151515152</x:v>
      </x:c>
      <x:c r="F15" s="60" t="n">
        <x:f>IF(F14=0,0,'02_Assumptions'!F37/F14)</x:f>
        <x:v>0.15151515151515152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20" hidden="0" customWidth="1"/>
    <x:col min="5" max="5" width="44" hidden="0" customWidth="1"/>
  </x:cols>
  <x:sheetData>
    <x:row r="1" ht="28" customHeight="1">
      <x:c r="A1" s="4" t="str">
        <x:v>12. Cap Table</x:v>
      </x:c>
      <x:c r="B1" s="88"/>
      <x:c r="C1" s="88"/>
      <x:c r="D1" s="88"/>
      <x:c r="E1" s="88"/>
      <x:c r="F1" s="90"/>
      <x:c r="G1" s="90"/>
      <x:c r="H1" s="90"/>
    </x:row>
    <x:row r="3">
      <x:c r="A3" s="17" t="str">
        <x:v>Shareholder</x:v>
      </x:c>
      <x:c r="B3" s="17" t="str">
        <x:v>Pre-Seed / Current</x:v>
      </x:c>
      <x:c r="C3" s="17" t="str">
        <x:v>Seed Investment</x:v>
      </x:c>
      <x:c r="D3" s="17" t="str">
        <x:v>Post-Seed Ownership</x:v>
      </x:c>
      <x:c r="E3" s="17" t="str">
        <x:v>Notes</x:v>
      </x:c>
    </x:row>
    <x:row r="4">
      <x:c r="A4" t="str">
        <x:v>Founders / Existing Shareholders</x:v>
      </x:c>
      <x:c r="B4" s="76" t="n">
        <x:v>1</x:v>
      </x:c>
      <x:c r="C4" s="30" t="n">
        <x:v>0</x:v>
      </x:c>
      <x:c r="D4" s="80" t="n">
        <x:f>B4*(1-D6)</x:f>
        <x:v>0.8484848484848485</x:v>
      </x:c>
      <x:c r="E4" t="str">
        <x:v>Before employee option pool adjustments</x:v>
      </x:c>
    </x:row>
    <x:row r="5">
      <x:c r="A5" t="str">
        <x:v>Employee Option Pool (ESOP)</x:v>
      </x:c>
      <x:c r="B5" s="76" t="n">
        <x:v>0</x:v>
      </x:c>
      <x:c r="C5" s="30" t="n">
        <x:v>0</x:v>
      </x:c>
      <x:c r="D5" s="80" t="n">
        <x:f>B5</x:f>
        <x:v>0</x:v>
      </x:c>
      <x:c r="E5" t="str">
        <x:v>Optional; input can be adjusted</x:v>
      </x:c>
    </x:row>
    <x:row r="6">
      <x:c r="A6" t="str">
        <x:v>Seed Investor</x:v>
      </x:c>
      <x:c r="B6" s="76" t="n">
        <x:v>0</x:v>
      </x:c>
      <x:c r="C6" t="n">
        <x:f>'02_Assumptions'!B37</x:f>
        <x:v>8250000000</x:v>
      </x:c>
      <x:c r="D6" s="80" t="n">
        <x:f>IF('11_Valuation'!B14=0,0,'02_Assumptions'!B37/'11_Valuation'!B14)</x:f>
        <x:v>0.15151515151515152</x:v>
      </x:c>
      <x:c r="E6" t="str">
        <x:v>Formula uses Seed Investment / Post-Money Valuation</x:v>
      </x:c>
    </x:row>
    <x:row r="7">
      <x:c r="A7" t="str">
        <x:v>Total</x:v>
      </x:c>
      <x:c r="B7" s="77" t="n">
        <x:f>SUM(B4:B6)</x:f>
        <x:v>1</x:v>
      </x:c>
      <x:c r="C7" t="n">
        <x:f>SUM(C4:C6)</x:f>
        <x:v>8250000000</x:v>
      </x:c>
      <x:c r="D7" s="80" t="n">
        <x:f>SUM(D4:D6)</x:f>
        <x:v>1</x:v>
      </x:c>
      <x:c r="E7" t="str"/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4" t="str">
        <x:v>13. Potential Investor Return</x:v>
      </x:c>
      <x:c r="B1" s="88"/>
      <x:c r="C1" s="88"/>
      <x:c r="D1" s="88"/>
      <x:c r="E1" s="90"/>
      <x:c r="F1" s="90"/>
      <x:c r="G1" s="90"/>
      <x:c r="H1" s="90"/>
    </x:row>
    <x:row r="3">
      <x:c r="A3" s="17" t="str">
        <x:v>Indicator</x:v>
      </x:c>
      <x:c r="B3" s="17" t="str">
        <x:v>Conservative</x:v>
      </x:c>
      <x:c r="C3" s="17" t="str">
        <x:v>Base Case</x:v>
      </x:c>
      <x:c r="D3" s="17" t="str">
        <x:v>Optimistic</x:v>
      </x:c>
    </x:row>
    <x:row r="5">
      <x:c r="A5" t="str">
        <x:v>Projected Revenue (2029)</x:v>
      </x:c>
      <x:c r="B5" s="56" t="n">
        <x:f>'04_Revenue_Engine'!F13*0.875</x:f>
        <x:v>28048112400</x:v>
      </x:c>
      <x:c r="C5" s="56" t="n">
        <x:f>'04_Revenue_Engine'!F13</x:f>
        <x:v>32054985600</x:v>
      </x:c>
      <x:c r="D5" s="56" t="n">
        <x:f>'04_Revenue_Engine'!F13*1.1875</x:f>
        <x:v>38065295400</x:v>
      </x:c>
    </x:row>
    <x:row r="6">
      <x:c r="A6" t="str">
        <x:v>Revenue Multiple</x:v>
      </x:c>
      <x:c r="B6" s="70" t="n">
        <x:f>'02_Assumptions'!F39</x:f>
        <x:v>3</x:v>
      </x:c>
      <x:c r="C6" s="70" t="n">
        <x:f>'02_Assumptions'!F40</x:f>
        <x:v>5</x:v>
      </x:c>
      <x:c r="D6" s="70" t="n">
        <x:f>'02_Assumptions'!F41</x:f>
        <x:v>7</x:v>
      </x:c>
    </x:row>
    <x:row r="7">
      <x:c r="A7" t="str">
        <x:v>Estimated Exit Valuation</x:v>
      </x:c>
      <x:c r="B7" s="56" t="n">
        <x:f>B5*B6</x:f>
        <x:v>84144337200</x:v>
      </x:c>
      <x:c r="C7" s="56" t="n">
        <x:f>C5*C6</x:f>
        <x:v>160274928000</x:v>
      </x:c>
      <x:c r="D7" s="56" t="n">
        <x:f>D5*D6</x:f>
        <x:v>266457067800</x:v>
      </x:c>
    </x:row>
    <x:row r="8">
      <x:c r="A8" t="str">
        <x:v>Investor Equity %</x:v>
      </x:c>
      <x:c r="B8" s="60" t="n">
        <x:f>'12_Cap_Table'!D6</x:f>
        <x:v>0.15151515151515152</x:v>
      </x:c>
      <x:c r="C8" s="60" t="n">
        <x:f>'12_Cap_Table'!D6</x:f>
        <x:v>0.15151515151515152</x:v>
      </x:c>
      <x:c r="D8" s="60" t="n">
        <x:f>'12_Cap_Table'!D6</x:f>
        <x:v>0.15151515151515152</x:v>
      </x:c>
    </x:row>
    <x:row r="9">
      <x:c r="A9" t="str">
        <x:v>Investor Equity Value</x:v>
      </x:c>
      <x:c r="B9" s="56" t="n">
        <x:f>B7*B8</x:f>
        <x:v>12749142000</x:v>
      </x:c>
      <x:c r="C9" s="56" t="n">
        <x:f>C7*C8</x:f>
        <x:v>24284080000</x:v>
      </x:c>
      <x:c r="D9" s="56" t="n">
        <x:f>D7*D8</x:f>
        <x:v>40372283000</x:v>
      </x:c>
    </x:row>
    <x:row r="10">
      <x:c r="A10" t="str">
        <x:v>Initial Investment</x:v>
      </x:c>
      <x:c r="B10" s="56" t="n">
        <x:f>'02_Assumptions'!B37</x:f>
        <x:v>8250000000</x:v>
      </x:c>
      <x:c r="C10" s="56" t="n">
        <x:f>'02_Assumptions'!B37</x:f>
        <x:v>8250000000</x:v>
      </x:c>
      <x:c r="D10" s="56" t="n">
        <x:f>'02_Assumptions'!B37</x:f>
        <x:v>8250000000</x:v>
      </x:c>
    </x:row>
    <x:row r="11">
      <x:c r="A11" t="str">
        <x:v>MOIC</x:v>
      </x:c>
      <x:c r="B11" s="70" t="n">
        <x:f>IF(B10=0,0,B9/B10)</x:f>
        <x:v>1.5453505454545455</x:v>
      </x:c>
      <x:c r="C11" s="70" t="n">
        <x:f>IF(C10=0,0,C9/C10)</x:f>
        <x:v>2.9435248484848486</x:v>
      </x:c>
      <x:c r="D11" s="70" t="n">
        <x:f>IF(D10=0,0,D9/D10)</x:f>
        <x:v>4.89361006060606</x:v>
      </x:c>
    </x:row>
    <x:row r="12">
      <x:c r="A12" t="str">
        <x:v>Estimated IRR (5 Years)</x:v>
      </x:c>
      <x:c r="B12" s="60" t="n">
        <x:f>IF(B11=0,0,B11^(1/5)-1)</x:f>
        <x:v>0.09095139498627147</x:v>
      </x:c>
      <x:c r="C12" s="60" t="n">
        <x:f>IF(C11=0,0,C11^(1/5)-1)</x:f>
        <x:v>0.24100502858041328</x:v>
      </x:c>
      <x:c r="D12" s="60" t="n">
        <x:f>IF(D11=0,0,D11^(1/5)-1)</x:f>
        <x:v>0.3738074654764394</x:v>
      </x:c>
    </x:row>
  </x:sheetData>
  <x:mergeCells>
    <x:mergeCell ref="A1:D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14. Executive Dashboard</x:v>
      </x:c>
      <x:c r="B1" s="88"/>
      <x:c r="C1" s="88"/>
      <x:c r="D1" s="88"/>
      <x:c r="E1" s="88"/>
      <x:c r="F1" s="88"/>
      <x:c r="G1" s="88"/>
      <x:c r="H1" s="88"/>
    </x:row>
    <x:row r="3">
      <x:c r="A3" s="82" t="str">
        <x:v>Smartcoop Financial Model v2.0 - Key Outputs</x:v>
      </x:c>
      <x:c r="B3" s="82" t="str"/>
      <x:c r="C3" s="82" t="str"/>
      <x:c r="D3" s="82" t="str"/>
      <x:c r="E3" s="82" t="str"/>
      <x:c r="F3" s="82" t="str"/>
      <x:c r="G3" s="82" t="str"/>
      <x:c r="H3" s="82" t="str"/>
    </x:row>
    <x:row r="5">
      <x:c r="A5" s="84" t="str">
        <x:v>2029 Revenue</x:v>
      </x:c>
      <x:c r="B5" s="86" t="n">
        <x:f>'04_Revenue_Engine'!F13</x:f>
        <x:v>32054985600</x:v>
      </x:c>
      <x:c r="C5" s="84" t="str">
        <x:v>2029 ARR</x:v>
      </x:c>
      <x:c r="D5" s="86" t="n">
        <x:f>'10_SaaS_Metrics'!F6</x:f>
        <x:v>9764880000</x:v>
      </x:c>
      <x:c r="E5" s="84" t="str">
        <x:v>2029 EBITDA</x:v>
      </x:c>
      <x:c r="F5" s="86" t="n">
        <x:f>'08_EBITDA'!F10</x:f>
        <x:v>12529100720</x:v>
      </x:c>
      <x:c r="G5" s="84" t="str">
        <x:v>2029 Active Coops</x:v>
      </x:c>
      <x:c r="H5" s="86" t="n">
        <x:f>'03_Customer_Growth'!F8</x:f>
        <x:v>1403</x:v>
      </x:c>
    </x:row>
    <x:row r="8">
      <x:c r="A8" s="84" t="str">
        <x:v>Seed Equity %</x:v>
      </x:c>
      <x:c r="B8" s="92" t="n">
        <x:f>'11_Valuation'!B15</x:f>
        <x:v>0.15151515151515152</x:v>
      </x:c>
      <x:c r="C8" s="84" t="str">
        <x:v>Base Exit Valuation</x:v>
      </x:c>
      <x:c r="D8" s="86" t="n">
        <x:f>'13_Investor_Return'!C7</x:f>
        <x:v>160274928000</x:v>
      </x:c>
      <x:c r="E8" s="84" t="str">
        <x:v>Base MOIC</x:v>
      </x:c>
      <x:c r="F8" s="86" t="n">
        <x:f>'13_Investor_Return'!C11</x:f>
        <x:v>2.9435248484848486</x:v>
      </x:c>
      <x:c r="G8" s="84" t="str">
        <x:v>Base IRR</x:v>
      </x:c>
      <x:c r="H8" s="92" t="n">
        <x:f>'13_Investor_Return'!C12</x:f>
        <x:v>0.24100502858041328</x:v>
      </x:c>
    </x:row>
    <x:row r="11">
      <x:c r="A11" s="17" t="str">
        <x:v>Metric / Driver</x:v>
      </x:c>
      <x:c r="B11" s="17" t="n">
        <x:v>2025</x:v>
      </x:c>
      <x:c r="C11" s="17" t="n">
        <x:v>2026</x:v>
      </x:c>
      <x:c r="D11" s="17" t="n">
        <x:v>2027</x:v>
      </x:c>
      <x:c r="E11" s="17" t="n">
        <x:v>2028</x:v>
      </x:c>
      <x:c r="F11" s="17" t="n">
        <x:v>2029</x:v>
      </x:c>
    </x:row>
    <x:row r="12">
      <x:c r="A12" t="str">
        <x:v>Active Cooperatives</x:v>
      </x:c>
      <x:c r="B12" s="56" t="n">
        <x:f>'03_Customer_Growth'!B8</x:f>
        <x:v>246</x:v>
      </x:c>
      <x:c r="C12" s="56" t="n">
        <x:f>'03_Customer_Growth'!C8</x:f>
        <x:v>276</x:v>
      </x:c>
      <x:c r="D12" s="56" t="n">
        <x:f>'03_Customer_Growth'!D8</x:f>
        <x:v>520</x:v>
      </x:c>
      <x:c r="E12" s="56" t="n">
        <x:f>'03_Customer_Growth'!E8</x:f>
        <x:v>912</x:v>
      </x:c>
      <x:c r="F12" s="56" t="n">
        <x:f>'03_Customer_Growth'!F8</x:f>
        <x:v>1403</x:v>
      </x:c>
    </x:row>
    <x:row r="13">
      <x:c r="A13" t="str">
        <x:v>Members</x:v>
      </x:c>
      <x:c r="B13" s="56" t="n">
        <x:f>'03_Customer_Growth'!B10</x:f>
        <x:v>174906</x:v>
      </x:c>
      <x:c r="C13" s="56" t="n">
        <x:f>'03_Customer_Growth'!C10</x:f>
        <x:v>193200</x:v>
      </x:c>
      <x:c r="D13" s="56" t="n">
        <x:f>'03_Customer_Growth'!D10</x:f>
        <x:v>213200</x:v>
      </x:c>
      <x:c r="E13" s="56" t="n">
        <x:f>'03_Customer_Growth'!E10</x:f>
        <x:v>437760</x:v>
      </x:c>
      <x:c r="F13" s="56" t="n">
        <x:f>'03_Customer_Growth'!F10</x:f>
        <x:v>752008</x:v>
      </x:c>
    </x:row>
    <x:row r="14">
      <x:c r="A14" s="63" t="str">
        <x:v>Revenue</x:v>
      </x:c>
      <x:c r="B14" s="64" t="n">
        <x:f>'04_Revenue_Engine'!B13</x:f>
        <x:v>3724565200</x:v>
      </x:c>
      <x:c r="C14" s="64" t="n">
        <x:f>'04_Revenue_Engine'!C13</x:f>
        <x:v>4188344000</x:v>
      </x:c>
      <x:c r="D14" s="64" t="n">
        <x:f>'04_Revenue_Engine'!D13</x:f>
        <x:v>10143720000</x:v>
      </x:c>
      <x:c r="E14" s="64" t="n">
        <x:f>'04_Revenue_Engine'!E13</x:f>
        <x:v>18097344000</x:v>
      </x:c>
      <x:c r="F14" s="64" t="n">
        <x:f>'04_Revenue_Engine'!F13</x:f>
        <x:v>32054985600</x:v>
      </x:c>
    </x:row>
    <x:row r="15">
      <x:c r="A15" t="str">
        <x:v>ARR</x:v>
      </x:c>
      <x:c r="B15" s="56" t="n">
        <x:f>'10_SaaS_Metrics'!B6</x:f>
        <x:v>1712160000</x:v>
      </x:c>
      <x:c r="C15" s="56" t="n">
        <x:f>'10_SaaS_Metrics'!C6</x:f>
        <x:v>1920960000</x:v>
      </x:c>
      <x:c r="D15" s="56" t="n">
        <x:f>'10_SaaS_Metrics'!D6</x:f>
        <x:v>3619200000</x:v>
      </x:c>
      <x:c r="E15" s="56" t="n">
        <x:f>'10_SaaS_Metrics'!E6</x:f>
        <x:v>6347520000</x:v>
      </x:c>
      <x:c r="F15" s="56" t="n">
        <x:f>'10_SaaS_Metrics'!F6</x:f>
        <x:v>9764880000</x:v>
      </x:c>
    </x:row>
    <x:row r="16">
      <x:c r="A16" t="str">
        <x:v>Gross Margin</x:v>
      </x:c>
      <x:c r="B16" s="60" t="n">
        <x:f>'05_COGS'!B12</x:f>
        <x:v>0.7549754220975914</x:v>
      </x:c>
      <x:c r="C16" s="60" t="n">
        <x:f>'05_COGS'!C12</x:f>
        <x:v>0.7525570201492523</x:v>
      </x:c>
      <x:c r="D16" s="60" t="n">
        <x:f>'05_COGS'!D12</x:f>
        <x:v>0.77206204429933</x:v>
      </x:c>
      <x:c r="E16" s="60" t="n">
        <x:f>'05_COGS'!E12</x:f>
        <x:v>0.8164435532639486</x:v>
      </x:c>
      <x:c r="F16" s="60" t="n">
        <x:f>'05_COGS'!F12</x:f>
        <x:v>0.8572488867379182</x:v>
      </x:c>
    </x:row>
    <x:row r="17">
      <x:c r="A17" s="63" t="str">
        <x:v>EBITDA</x:v>
      </x:c>
      <x:c r="B17" s="64" t="n">
        <x:f>'08_EBITDA'!B10</x:f>
        <x:v>-682044816</x:v>
      </x:c>
      <x:c r="C17" s="64" t="n">
        <x:f>'08_EBITDA'!C10</x:f>
        <x:v>-1486032320</x:v>
      </x:c>
      <x:c r="D17" s="64" t="n">
        <x:f>'08_EBITDA'!D10</x:f>
        <x:v>781581200</x:v>
      </x:c>
      <x:c r="E17" s="64" t="n">
        <x:f>'08_EBITDA'!E10</x:f>
        <x:v>4507459840</x:v>
      </x:c>
      <x:c r="F17" s="64" t="n">
        <x:f>'08_EBITDA'!F10</x:f>
        <x:v>12529100720</x:v>
      </x:c>
    </x:row>
    <x:row r="18">
      <x:c r="A18" t="str">
        <x:v>EBITDA Margin</x:v>
      </x:c>
      <x:c r="B18" s="60" t="n">
        <x:f>'08_EBITDA'!B11</x:f>
        <x:v>-0.1831206541907227</x:v>
      </x:c>
      <x:c r="C18" s="60" t="n">
        <x:f>'08_EBITDA'!C11</x:f>
        <x:v>-0.3548018787377541</x:v>
      </x:c>
      <x:c r="D18" s="60" t="n">
        <x:f>'08_EBITDA'!D11</x:f>
        <x:v>0.07705074666887493</x:v>
      </x:c>
      <x:c r="E18" s="60" t="n">
        <x:f>'08_EBITDA'!E11</x:f>
        <x:v>0.24906747863111847</x:v>
      </x:c>
      <x:c r="F18" s="60" t="n">
        <x:f>'08_EBITDA'!F11</x:f>
        <x:v>0.3908627779885822</x:v>
      </x:c>
    </x:row>
    <x:row r="19">
      <x:c r="A19" t="str">
        <x:v>Ending Cash</x:v>
      </x:c>
      <x:c r="B19" s="56" t="n">
        <x:f>'09_Cash_Flow'!B8</x:f>
        <x:v>-682044816</x:v>
      </x:c>
      <x:c r="C19" s="56" t="n">
        <x:f>'09_Cash_Flow'!C8</x:f>
        <x:v>6081922864</x:v>
      </x:c>
      <x:c r="D19" s="56" t="n">
        <x:f>'09_Cash_Flow'!D8</x:f>
        <x:v>6863504064</x:v>
      </x:c>
      <x:c r="E19" s="56" t="n">
        <x:f>'09_Cash_Flow'!E8</x:f>
        <x:v>11370963904</x:v>
      </x:c>
      <x:c r="F19" s="56" t="n">
        <x:f>'09_Cash_Flow'!F8</x:f>
        <x:v>23900064624</x:v>
      </x:c>
    </x:row>
  </x:sheetData>
  <x:mergeCells>
    <x:mergeCell ref="A1:H1"/>
    <x:mergeCell ref="A3:H3"/>
  </x:mergeCells>
  <x:pageMargins left="0.7" right="0.7" top="0.75" bottom="0.75" header="0.3" footer="0.3"/>
  <x:drawing xmlns:r="http://schemas.openxmlformats.org/officeDocument/2006/relationships" r:id="R279a63cf4b9f4836"/>
</x:worksheet>
</file>